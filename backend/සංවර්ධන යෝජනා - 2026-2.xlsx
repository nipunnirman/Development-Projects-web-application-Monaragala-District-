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drawings/drawing2.xml" ContentType="application/vnd.openxmlformats-officedocument.drawing+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drawings/drawing3.xml" ContentType="application/vnd.openxmlformats-officedocument.drawing+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drawings/drawing4.xml" ContentType="application/vnd.openxmlformats-officedocument.drawing+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drawings/drawing5.xml" ContentType="application/vnd.openxmlformats-officedocument.drawing+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drawings/drawing6.xml" ContentType="application/vnd.openxmlformats-officedocument.drawing+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drawings/drawing7.xml" ContentType="application/vnd.openxmlformats-officedocument.drawing+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drawings/drawing8.xml" ContentType="application/vnd.openxmlformats-officedocument.drawing+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drawings/drawing9.xml" ContentType="application/vnd.openxmlformats-officedocument.drawing+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drawings/drawing10.xml" ContentType="application/vnd.openxmlformats-officedocument.drawing+xml"/>
  <Override PartName="/xl/ink/ink217.xml" ContentType="application/inkml+xml"/>
  <Override PartName="/xl/ink/ink218.xml" ContentType="application/inkml+xml"/>
  <Override PartName="/xl/ink/ink219.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0.xml" ContentType="application/inkml+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drawings/drawing11.xml" ContentType="application/vnd.openxmlformats-officedocument.drawing+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0.xml" ContentType="application/inkml+xml"/>
  <Override PartName="/xl/ink/ink341.xml" ContentType="application/inkml+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ink/ink348.xml" ContentType="application/inkml+xml"/>
  <Override PartName="/xl/ink/ink349.xml" ContentType="application/inkml+xml"/>
  <Override PartName="/xl/ink/ink350.xml" ContentType="application/inkml+xml"/>
  <Override PartName="/xl/ink/ink351.xml" ContentType="application/inkml+xml"/>
  <Override PartName="/xl/ink/ink352.xml" ContentType="application/inkml+xml"/>
  <Override PartName="/xl/ink/ink353.xml" ContentType="application/inkml+xml"/>
  <Override PartName="/xl/ink/ink354.xml" ContentType="application/inkml+xml"/>
  <Override PartName="/xl/ink/ink355.xml" ContentType="application/inkml+xml"/>
  <Override PartName="/xl/ink/ink356.xml" ContentType="application/inkml+xml"/>
  <Override PartName="/xl/ink/ink357.xml" ContentType="application/inkml+xml"/>
  <Override PartName="/xl/ink/ink358.xml" ContentType="application/inkml+xml"/>
  <Override PartName="/xl/ink/ink359.xml" ContentType="application/inkml+xml"/>
  <Override PartName="/xl/ink/ink360.xml" ContentType="application/inkml+xml"/>
  <Override PartName="/xl/ink/ink361.xml" ContentType="application/inkml+xml"/>
  <Override PartName="/xl/ink/ink362.xml" ContentType="application/inkml+xml"/>
  <Override PartName="/xl/ink/ink363.xml" ContentType="application/inkml+xml"/>
  <Override PartName="/xl/ink/ink364.xml" ContentType="application/inkml+xml"/>
  <Override PartName="/xl/drawings/drawing12.xml" ContentType="application/vnd.openxmlformats-officedocument.drawing+xml"/>
  <Override PartName="/xl/ink/ink365.xml" ContentType="application/inkml+xml"/>
  <Override PartName="/xl/ink/ink366.xml" ContentType="application/inkml+xml"/>
  <Override PartName="/xl/ink/ink367.xml" ContentType="application/inkml+xml"/>
  <Override PartName="/xl/ink/ink368.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730" windowHeight="10155" activeTab="11"/>
  </bookViews>
  <sheets>
    <sheet name="බඩල්කුඹුර" sheetId="7" r:id="rId1"/>
    <sheet name="මැදගම" sheetId="8" r:id="rId2"/>
    <sheet name="මඩුල්ල" sheetId="10" r:id="rId3"/>
    <sheet name="සියඹලාණ්ඩුව" sheetId="19" r:id="rId4"/>
    <sheet name="මොනරාගල" sheetId="11" r:id="rId5"/>
    <sheet name="බුත්තල" sheetId="13" r:id="rId6"/>
    <sheet name="කතරගම" sheetId="14" r:id="rId7"/>
    <sheet name="බිබිල" sheetId="15" r:id="rId8"/>
    <sheet name="වැල්ලවාය" sheetId="16" r:id="rId9"/>
    <sheet name="තණමල්විල" sheetId="17" r:id="rId10"/>
    <sheet name="සෙවනගල" sheetId="18" r:id="rId11"/>
    <sheet name="දිස්ත්‍රික්කයේ පොදු" sheetId="20" r:id="rId12"/>
  </sheets>
  <definedNames>
    <definedName name="_xlnm._FilterDatabase" localSheetId="4" hidden="1">මොනරාගල!$C$1:$C$147</definedName>
  </definedNames>
  <calcPr calcId="144525"/>
</workbook>
</file>

<file path=xl/calcChain.xml><?xml version="1.0" encoding="utf-8"?>
<calcChain xmlns="http://schemas.openxmlformats.org/spreadsheetml/2006/main">
  <c r="E182" i="20" l="1"/>
  <c r="E142" i="17"/>
  <c r="E141" i="17"/>
  <c r="E69" i="17"/>
  <c r="E55" i="17"/>
  <c r="E52" i="17"/>
  <c r="E44" i="17"/>
  <c r="E36" i="17"/>
  <c r="E29" i="17"/>
  <c r="E18" i="17"/>
  <c r="E11" i="17"/>
  <c r="E12" i="16"/>
  <c r="E18" i="16"/>
  <c r="E27" i="16"/>
  <c r="E34" i="16"/>
  <c r="E50" i="16"/>
  <c r="E56" i="16"/>
  <c r="E60" i="16"/>
  <c r="E68" i="16"/>
  <c r="E79" i="16"/>
  <c r="E83" i="16"/>
  <c r="E88" i="16"/>
  <c r="E97" i="16"/>
  <c r="E177" i="16"/>
  <c r="E101" i="15"/>
  <c r="E89" i="15"/>
  <c r="E76" i="15"/>
  <c r="E69" i="15"/>
  <c r="E58" i="15"/>
  <c r="E50" i="15"/>
  <c r="E36" i="15"/>
  <c r="E31" i="15"/>
  <c r="E23" i="15"/>
  <c r="E10" i="15"/>
  <c r="E159" i="15"/>
  <c r="E178" i="16" l="1"/>
  <c r="E81" i="18"/>
  <c r="E80" i="18"/>
  <c r="E70" i="18"/>
  <c r="E65" i="18"/>
  <c r="E63" i="18"/>
  <c r="E55" i="18"/>
  <c r="E52" i="18"/>
  <c r="E44" i="18"/>
  <c r="E32" i="18"/>
  <c r="E25" i="18"/>
  <c r="E14" i="18"/>
  <c r="E8" i="18"/>
  <c r="E35" i="18"/>
  <c r="E16" i="18"/>
  <c r="E67" i="14"/>
  <c r="E10" i="14"/>
  <c r="E16" i="14"/>
  <c r="E28" i="14"/>
  <c r="E34" i="14"/>
  <c r="E42" i="14"/>
  <c r="E45" i="14"/>
  <c r="E49" i="14"/>
  <c r="E66" i="14"/>
  <c r="E175" i="13"/>
  <c r="E114" i="13"/>
  <c r="E105" i="13"/>
  <c r="E97" i="13"/>
  <c r="E90" i="13"/>
  <c r="E79" i="13"/>
  <c r="E71" i="13"/>
  <c r="E60" i="13"/>
  <c r="E52" i="13"/>
  <c r="E46" i="13"/>
  <c r="E24" i="13"/>
  <c r="E13" i="13"/>
  <c r="E174" i="13"/>
  <c r="E145" i="11"/>
  <c r="E17" i="11"/>
  <c r="E24" i="11"/>
  <c r="E28" i="11"/>
  <c r="E46" i="11"/>
  <c r="E61" i="11"/>
  <c r="E68" i="11"/>
  <c r="E74" i="11"/>
  <c r="E80" i="11"/>
  <c r="E90" i="11"/>
  <c r="E99" i="11"/>
  <c r="E144" i="11"/>
  <c r="E122" i="10"/>
  <c r="E171" i="19" l="1"/>
  <c r="E130" i="7"/>
  <c r="E119" i="8"/>
  <c r="E121" i="10" l="1"/>
  <c r="E102" i="10"/>
  <c r="E95" i="10"/>
  <c r="E84" i="10"/>
  <c r="E77" i="10"/>
  <c r="E51" i="10"/>
  <c r="E35" i="10"/>
  <c r="E25" i="10"/>
  <c r="E20" i="10"/>
  <c r="E9" i="10"/>
  <c r="E103" i="8"/>
  <c r="E92" i="8"/>
  <c r="E84" i="8"/>
  <c r="E78" i="8"/>
  <c r="E59" i="8"/>
  <c r="E48" i="8"/>
  <c r="E35" i="8"/>
  <c r="E27" i="8"/>
  <c r="E18" i="8"/>
  <c r="E13" i="8"/>
  <c r="E120" i="7" l="1"/>
  <c r="E110" i="7"/>
  <c r="E79" i="7"/>
  <c r="E70" i="7"/>
  <c r="E59" i="7"/>
  <c r="E50" i="7"/>
  <c r="E41" i="7"/>
  <c r="E29" i="7"/>
  <c r="E14" i="7"/>
  <c r="E121" i="19"/>
  <c r="E107" i="19"/>
  <c r="E94" i="19"/>
  <c r="E82" i="19"/>
  <c r="E69" i="19"/>
  <c r="E58" i="19"/>
  <c r="E51" i="19"/>
  <c r="E43" i="19"/>
  <c r="E36" i="19"/>
  <c r="E29" i="19"/>
  <c r="E22" i="19"/>
  <c r="E13" i="19"/>
  <c r="I87" i="11" l="1"/>
  <c r="I72" i="11"/>
  <c r="I114" i="8"/>
  <c r="I109" i="15"/>
  <c r="J54" i="14"/>
  <c r="E160" i="15" l="1"/>
  <c r="E100" i="11" l="1"/>
  <c r="E99" i="19"/>
  <c r="E172" i="19" s="1"/>
  <c r="E74" i="19"/>
  <c r="E62" i="10"/>
  <c r="E42" i="10"/>
  <c r="E90" i="7"/>
  <c r="E98" i="7"/>
  <c r="E102" i="16"/>
  <c r="E103" i="10" l="1"/>
  <c r="E120" i="8"/>
  <c r="E131" i="7" l="1"/>
</calcChain>
</file>

<file path=xl/sharedStrings.xml><?xml version="1.0" encoding="utf-8"?>
<sst xmlns="http://schemas.openxmlformats.org/spreadsheetml/2006/main" count="5917" uniqueCount="1947">
  <si>
    <t>අනු අංකය</t>
  </si>
  <si>
    <t>01</t>
  </si>
  <si>
    <t>02</t>
  </si>
  <si>
    <t>03</t>
  </si>
  <si>
    <t>04</t>
  </si>
  <si>
    <t>05</t>
  </si>
  <si>
    <t>06</t>
  </si>
  <si>
    <t>07</t>
  </si>
  <si>
    <t>මැදගම</t>
  </si>
  <si>
    <t>08</t>
  </si>
  <si>
    <t>කොට්ඨාසය</t>
  </si>
  <si>
    <t>වසම</t>
  </si>
  <si>
    <t>එකතුව</t>
  </si>
  <si>
    <t>09</t>
  </si>
  <si>
    <t>10</t>
  </si>
  <si>
    <t>11</t>
  </si>
  <si>
    <t>වෑකුඹුර</t>
  </si>
  <si>
    <t>මයියොක්කාවත්ත</t>
  </si>
  <si>
    <t>ගැඩවිල</t>
  </si>
  <si>
    <t>වරාදොල</t>
  </si>
  <si>
    <t>මාලිගාතැන්න</t>
  </si>
  <si>
    <t>පුස්සැල්ලෑව</t>
  </si>
  <si>
    <t>මඩමගම</t>
  </si>
  <si>
    <t>මඩුගහපට්ටිය</t>
  </si>
  <si>
    <t>කරවිල</t>
  </si>
  <si>
    <t>පල්ලේගම</t>
  </si>
  <si>
    <t>ඇල්ල</t>
  </si>
  <si>
    <t>මයිලගස්තැන්න</t>
  </si>
  <si>
    <t>මඩුකොටන්අරාව</t>
  </si>
  <si>
    <t>තේරප්පහුව</t>
  </si>
  <si>
    <t>තලාවගම</t>
  </si>
  <si>
    <t>ඇත්තලාමුල්ල</t>
  </si>
  <si>
    <t>පුන්සිසිගම</t>
  </si>
  <si>
    <t>මුතුකෙලියාව</t>
  </si>
  <si>
    <t>බඩල්කුඹුර</t>
  </si>
  <si>
    <t>වාසිපන</t>
  </si>
  <si>
    <t>මඩුගස්මුල්ල</t>
  </si>
  <si>
    <t>අලුපොත</t>
  </si>
  <si>
    <t>අංකඩ</t>
  </si>
  <si>
    <t>කොටමුදුන</t>
  </si>
  <si>
    <t>දේවතුර</t>
  </si>
  <si>
    <t>මියනකඳුර</t>
  </si>
  <si>
    <t>ඇත්පට්ටිය</t>
  </si>
  <si>
    <t>හිඟුරුකඩුව</t>
  </si>
  <si>
    <t>කැලිවැස්ස</t>
  </si>
  <si>
    <t>රණූගල්ල</t>
  </si>
  <si>
    <t>දඹගහවෙල</t>
  </si>
  <si>
    <t>අතල</t>
  </si>
  <si>
    <t>මීගහයාය</t>
  </si>
  <si>
    <t>බෝගහපැලැස්ස</t>
  </si>
  <si>
    <t>නාරංවත්ත</t>
  </si>
  <si>
    <t>කටුගහගල්ගේ</t>
  </si>
  <si>
    <t>ලුණුගල ජනපදය</t>
  </si>
  <si>
    <t>මොරටුවගම</t>
  </si>
  <si>
    <t>ව්‍යාපෘතිය</t>
  </si>
  <si>
    <t>සංවර්ධන ව්‍යාපෘති - 2026</t>
  </si>
  <si>
    <t>බඩල්කුඹුර කොට්ඨාසය</t>
  </si>
  <si>
    <t>ක්‍රියාත්මක  ආයතනය</t>
  </si>
  <si>
    <t>මහතැන්න ප්‍රධාන ලැයිම මාර්ගය කෝවිල අසල සිට පාසල දක්වා කොන්ක්‍රිට් කිරිම</t>
  </si>
  <si>
    <t>ප්‍රතිපාදන මුදල රු.මි.</t>
  </si>
  <si>
    <t>පුස්සැල්ලෑව කිරවනාගොඩ මාර්ගය කාපට් කිරිම</t>
  </si>
  <si>
    <t>මඩුගහපට්ටිය පුස්සැල්ලෑව මාර්ගය කාපට් කිරිම</t>
  </si>
  <si>
    <t>කන්දහේනවත්ත ඉහල කොටසේ ක්‍රිස්තියානි පල්ලියපාර කොන්ක්‍රිට් කිරිම</t>
  </si>
  <si>
    <t>මියනකඳුර බූටාවත්ත මිණිමුතු පෙරපාසල ප්‍රතිසංස්කරණය කිරිම</t>
  </si>
  <si>
    <t>කටුගහගල්ගේ කෝන්ගහ වැව ප්‍රතිසංස්කරණය කිරිම</t>
  </si>
  <si>
    <t>ගැඩවිල ප්‍රධාන වෙල්යාය ප්‍රධාන ඇල ප්‍රතිසංස්කරණය කිරිම</t>
  </si>
  <si>
    <t>වරාදොල විදුහල අසලින් රුප්ප මාර්ගයේ වරාදොලවත්ත අඹතැන්න හන්දිය දක්වා කොන්ක්‍රිට් කිරිම</t>
  </si>
  <si>
    <t>කටුගහගල්ගේ විදුහල 100 X 20 ගොඩනැගිල්ල අලුත්වැඩියාව</t>
  </si>
  <si>
    <t>යාකුරාව</t>
  </si>
  <si>
    <t>ඇත්තලාමුල්ල ක. විදුහල 100 X 20 ගොඩනැගිල්ල අලුත්වැඩියාව</t>
  </si>
  <si>
    <t>මාලිගාතැන්න මහ විදුහලේ නව වැසිකිළි පද්ධතිය ඉදිකිරිම</t>
  </si>
  <si>
    <t>මාලිගාතැන්න මහ විදුහලේආරක්ෂිත පැතිබැම්ම ඉදිකිරිම</t>
  </si>
  <si>
    <t>වෑකුඹුර කඳුකරගම සිට මඩමගම පන්සල දක්වා කොන්ක්‍රිට් කිරිම</t>
  </si>
  <si>
    <t>මඩුගහපට්ටිය දවට හන්දිය බෝගස්තැන්න අතුරු මාර්ගය කොන්ක්‍රිට් කිරිම</t>
  </si>
  <si>
    <t>මාලිගාතැන්න කොන්ක්‍රිට් වංගුවේ සිට වැලිගොඩයාය දක්වා මාර්ගය කොන්ක්‍රිට් කිරිම</t>
  </si>
  <si>
    <t>මීගහයාය වෑගරතැන්න සිට පාසල් පටුමඟ දක්වා මාර්ගය කොන්ක්‍රිට් කිරිම</t>
  </si>
  <si>
    <t>කලුගුලුවත්ත හරහා වටවනගම දක්වා මාර්ගය කොන්ක්‍රිට් කිරිම</t>
  </si>
  <si>
    <t>මුතුකෙලියාව බෝගස්ඇල්ල සිට තරුණගොඩ දක්වා මාර්ගය කොන්ක්‍රිට් කිරිම</t>
  </si>
  <si>
    <t>කළුගොල්ල තලාවගම පහල මාර්ගය කොන්ක්‍රිට් කිරිම</t>
  </si>
  <si>
    <t>ප්‍රාදේශීය සභාව බඩල්කුඹුර</t>
  </si>
  <si>
    <t>වරාදොලවත්ත අංක 12 ලයිම හේන පල්ලම ජල ව්‍යාපෘතිය ප්‍රතිසංස්කරණය කිරිම</t>
  </si>
  <si>
    <t>කහත්තඹයාය ප්‍රධාන ඇල මාර්ගය ප්‍රතිසංස්කරණය කිරිම</t>
  </si>
  <si>
    <t>පේමානන්ද මහ විදුහල ආරක්ෂිත බැම්ම ඉදිකිරිම</t>
  </si>
  <si>
    <t>කිරවනාගොඩ ක.විදුහලේ ගුරු නිවාස ගොඩනැගිල්ල අලුත්වැඩියා කිරිම</t>
  </si>
  <si>
    <t>සිද්ධාර්ථ විදුහලට ජල පෙරනයක් ලබාදිම</t>
  </si>
  <si>
    <t>බඩල්කුඹුර කොට්ඨාස අධ්‍යාපන කාර්යාලයේ අලුත්වැඩියාව</t>
  </si>
  <si>
    <t>කොටමුදුන මහ විදුහල 40 X 20 ගොඩනැගිල්ල අලුත්වැඩියාව</t>
  </si>
  <si>
    <t>පේමානන්ද මහ විදුහල 60 X 20 ගොඩනැගිල්ල අලුත්වැඩියාව</t>
  </si>
  <si>
    <t>මොරටුවගම සිට  බෝකොටුව දක්වා මාර්ගය කොන්ක්‍රිට් කිරිම</t>
  </si>
  <si>
    <t>අලුපොත කොම්පෝස්ට් අංගනය ඉදිකිරිම</t>
  </si>
  <si>
    <t>මඩුකොටන්ආරාව කණ්ඩියවත්ත මාර්ගය කොන්ක්‍රිට් කිරිම</t>
  </si>
  <si>
    <t>වලස්ඇල්ල වතුපිටිවල දක්වා මාර්ගය කොන්ක්‍රිට් කිරිම</t>
  </si>
  <si>
    <t>ප්‍රාදේශිය ලේකම් කාර්යාලය</t>
  </si>
  <si>
    <t>වාසිපන අරළුගස්මඩ පිට පාර කොන්ක්‍රිට් කිරිම</t>
  </si>
  <si>
    <t>නාරංවත්ත නල ළිඳේ සිට ඉලුක්මණ්ඩිය යාය මාර්ගය කොන්ක්‍රිට් කිරිම</t>
  </si>
  <si>
    <t>පිටියගම සේරුගොඩ මාර්ගය කොන්ක්‍රිට් කිරිම</t>
  </si>
  <si>
    <t>අතල කුඹුරුයාය වැවතැන්න අතුරු මාර්ගය කොන්ක්‍රිට් කිරිම</t>
  </si>
  <si>
    <t>අරුණැල්ල පෙරපාසලේ ගොඩනැගිල්ල අලුත්වැඩියා කිරිම</t>
  </si>
  <si>
    <t>අල්නස්රා පෙරපාසල සඳහා සෙල්ලම් මිදුලට උපකරණ ලබාදිම</t>
  </si>
  <si>
    <t>ඉසුරු පෙරපසලට ලී බඩු උපකරණ ලබාදිම</t>
  </si>
  <si>
    <t>මාලිගාතැන්න දිලෙනතරු පෙරපාසලට ලීබඩු උපකරණ ලබාදිම</t>
  </si>
  <si>
    <t>ලිබර්ටි ලංකා පෙරපාසලට ලීබඩු උපකරණ ලබාදිම</t>
  </si>
  <si>
    <t>වජිර සිඟිති පෙරපාසලට ලීබඩු උපකරණ ලබාදිම</t>
  </si>
  <si>
    <t>මොරටුවගම විදුලි දිගුව පවුල් 06ක් සඳහා</t>
  </si>
  <si>
    <t>හිගුරුකඩුව රෝහලේ ගිලන්රථ ගරාජය, රියදුරු නේවාසිකාගාරය අලුත්වැඩියා කිරිම</t>
  </si>
  <si>
    <t>දේවතුර ප්‍රාථමික සෞඛ්‍ය සත්කාර ඒකකයේ වෛද්‍ය නිල නිවස වටා ආරක්ෂිත වැට ඉදිකිරිම</t>
  </si>
  <si>
    <t>හිගුරුකඩුව රෝහල වටා වැට ඉදිකිරිම</t>
  </si>
  <si>
    <t>ප්‍රාදේශිය සෞඛ්‍ය අධ්‍යක්ෂ කාර්යාලය, මොනරාගල</t>
  </si>
  <si>
    <t>දේවතුර ප්‍රාථමික සෞඛ්‍ය ඒකකයේ වෛද්‍ය නිල නිවසට ජලය ලබාගන්නා ජල ප්‍රභවය අවට ආරක්ෂාකාරි වන ලෙස සැකසිම</t>
  </si>
  <si>
    <t>සෞඛ්‍ය මධ්‍යස්ථානය අලුත්වැඩියා කිරිම</t>
  </si>
  <si>
    <t>ප්‍රාදේශිය රෝහලේ දන්තශල්‍ය ඒකකය අලුත්වැඩියාව</t>
  </si>
  <si>
    <t>කලගහකිවුල</t>
  </si>
  <si>
    <t>කලගහකිවුල වොලිබෝල් ක්‍රීඩාපිටිය සංවර්ධනය කිරිම</t>
  </si>
  <si>
    <t>මුදලින්දාරාම ටැංපිට විහාරයේ වහලය අලුතින් දැව යොදා පිළිසකර කිරිම</t>
  </si>
  <si>
    <t>පරවියන් ඇල්ල ප්‍රවේශ මාර්ගය 2 අදියර සංවර්ධනය කිරිම</t>
  </si>
  <si>
    <t>PRD</t>
  </si>
  <si>
    <t>ප්‍රාදේශීය ලේකම් කාර්යාලය, බඩල්කුඹුර</t>
  </si>
  <si>
    <t>දේවතුර කම්බිඅඩිය ජල ව්‍යාපෘතියේ ජල මුලාශ්‍රයට ඇනිකට් එකක් බැද ජලනල එළිම</t>
  </si>
  <si>
    <t>තල්ලන්ද හන්දියේ සිට ඇල්ආරාව ගැඩවිල කෘෂී මාර්ගය ප්‍රතිසංස්කරණය කිරිම</t>
  </si>
  <si>
    <t>වාරිමාර්ග කාර්යාලය, බුත්තල</t>
  </si>
  <si>
    <t>කරවිල ඇල්ලයාය බෝගහවෙල ප්‍රධාන ඇල මාර්ගය ප්‍රතිසංස්කරණය</t>
  </si>
  <si>
    <t>දුම්මලේතැන්න තැන්නේයාය කුඹුරුයාය ඇල මාර්ගය ප්‍රතිසංස්කරණය කිරිම</t>
  </si>
  <si>
    <t>අංකඩ හියගොල්ල සිට හේනපල්ලම වත්ත දක්වා මාර්ගය කොන්ක්‍රිට් කිරිම</t>
  </si>
  <si>
    <t>දේවතුර වැවේ කැලේ පුදු ලයිම මාර්ගය කොන්ක්‍රිට් කිරිම</t>
  </si>
  <si>
    <t>සේනාවල මාර්ගයේ  සිට කොටේ ළිද මාර්ගය දක්වා සංවර්ධනය කිරීම</t>
  </si>
  <si>
    <t>උඩතැන්න මාර්ගයේ පළමු අතුරු මාර්ගය අසල සිට උඩතැන්න මාර්ගය ඉදිරියට සංවර්ධනය කිරිම</t>
  </si>
  <si>
    <t>නැමි ඇල්ල හන්දියේ සිට දිවෙන නැමි ඇල්ල  හෙල ගෙදර මාර්ගය   සංවර්ධනය කිරීම.</t>
  </si>
  <si>
    <t>වටවන මාර්ගය ආරම්භක ස්ථානයේ සිට විජේතුංග මහතාගේ නිවස අසල අවශ්‍ය ස්ථාන සංවර්ධනය කිරීම</t>
  </si>
  <si>
    <t>08 කණුව පාසල ඉදිරිපිට පහල ලැයිම දෙසට අතුරු මාර්ග සංවර්ධනය කිරීම</t>
  </si>
  <si>
    <t>කොටමුදුන j.M කුලරත්න මහතාගේ නිවස අසල සිට අමුණුමුල්ල ප්‍රජා ශාලාව දක්වා මාර්ගය සංවර්ධනය කිරීම.</t>
  </si>
  <si>
    <t>පොල්වත්ත පාලිත මහතාගේ  නිවස අසල සිට කුසුමාවති මහත්මියගේ නිවස අසල දක්වා මාර්ගය කොටස සහ ප්‍රජාශාලාව අසල සිට චන්ද්‍රසේන මහතාගේ නිවස ඉදිරිපිට දක්වා ඇති මාර්ග කොටස  සංවර්ධනය කිරීම</t>
  </si>
  <si>
    <t>කුඩුගලයාය ප්‍රජාශාලාව අසල සිට අවශ්‍ය ස්ථාන   සංවර්ධනය කිරීම.</t>
  </si>
  <si>
    <t>ගලහයාය මීගස් හන්දියේ සිට කදන්පාරුව මාර්ගය ඉදිරියට සංවර්ධනය කිරීම</t>
  </si>
  <si>
    <t>පහල ඇල්ල බතල වත්ත මාර්ගයේ සමීර මහතාගේ නිවස අසල සිට 150m ක් ඉදිරිපිට මාර්ගය සංවර්ධනය කිරීම</t>
  </si>
  <si>
    <t>මීගහමඩ ප්‍රධාන මාර්ගයේ සිට පුස් ආර සහ සොහොන් භූමිය ප්‍රදේශය හරහා පුන්සිසිගම හෙලතුන්තල  මාර්ගය දක්වා දිවෙන අතුරු මාර්ගය සංවර්ධනය කිරීම</t>
  </si>
  <si>
    <t>වළගම්බා පුරාණ රාජමහා විහාරස්ථානයට යන ප්‍රවේශ  මාර්ගය සංවර්ධනය කිරීම</t>
  </si>
  <si>
    <t>ජයන්ති පෙදෙස මාර්ගයේ රාජපක්ෂ මහතාගේ  නිවස අසල තුන්මන් හන්දියේ සිට ලංකා විලම් කුමාර මහතාගේ නිවස අසලින් ඇති  මාර්ගය සංවර්ධනය කිරීම</t>
  </si>
  <si>
    <t>අමුණුවෙල දිය ඇල්ලට(හබරත්තාවල දිය ඇල්ල) යන ප්‍රවේශ මාර්ගයේ දැනට ඉදිකර ඇති පලමු කොන්ක්‍රීට් කොටසේ  සිට ඉදිරියට මාර්ගය   සංවර්ධනය කිරීම</t>
  </si>
  <si>
    <t>රණුගල්ල තැන්නේවත්ත මාර්ගය දැනට කොන්ක්‍රීට් දමා ඇති තැන සිට D.G වීරසිංහ මහතාගේ නිවස  අසලට සංවර්ධනය කිරීම</t>
  </si>
  <si>
    <t>මොරටුවගම පාසල් හන්දියේ සිට මොරටුවගම බෝකොටුව  දක්වා ඇති අවශ්‍ය ස්ථාන සංවර්ධනය කිරීම</t>
  </si>
  <si>
    <t>පුස්සැල්ලෑව පොල්වත්ත මාර්ගයේ ඉතිරි කොටස කොන්ක්‍රිට් කිරිම</t>
  </si>
  <si>
    <t>මාලිගාතැන්න පරණ අලුපොත තුත්තිරිආරාව හා දෙයියන්ගේ ආරාව කුඹුරු යායේ කැඩීගිය ඇළ බැම්ම ප්‍රතිසංස්කරණය කිරිම</t>
  </si>
  <si>
    <t>මාලිගාතැන්න තලවත්ත ගල්පොත්තආර කෘෂි මාර්ගය සංවර්ධනය කිරිම</t>
  </si>
  <si>
    <t>මල්ගහකුඹුර අතුරු මාර්ගයේ ඇල ප්‍රතිසංස්කරණය කිරිම</t>
  </si>
  <si>
    <t>යාකුරාව වෙල්යායේ පිවිසුම් මාර්ගය සංවර්ධනය කිරිම</t>
  </si>
  <si>
    <t>අමුණුමුල්ලේ සිට කොටමුදුන ඇල මාර්ගය සංවර්ධනය කිරිම</t>
  </si>
  <si>
    <t>සමයංපිටිය අමුණේ ඇල සංවර්ධනය කිරිම</t>
  </si>
  <si>
    <t>කරවිල ගඟ පාර කෘෂි මාර්ගය සංවර්දනය කිරිම</t>
  </si>
  <si>
    <t>කටුගහගල්ගේ ප්‍රජා ජල ව්‍යාපෘතිය සඳහා වතුර මෝටරයක් ලබාදිම</t>
  </si>
  <si>
    <t>පල්ලේගම වෙල්යායේ ඇල ප්‍රතිසංස්කරණය කිරිම</t>
  </si>
  <si>
    <t>මුළු එකතුව</t>
  </si>
  <si>
    <t>මැදගම කොට්ඨාසය</t>
  </si>
  <si>
    <t>අමුණේකඳුර</t>
  </si>
  <si>
    <t>බකිණිගහවෙල</t>
  </si>
  <si>
    <t>තිඹිරිය</t>
  </si>
  <si>
    <t>කැන්දවින්න</t>
  </si>
  <si>
    <t>නන්නපුරාව</t>
  </si>
  <si>
    <t>කොහුකුඹුර</t>
  </si>
  <si>
    <t>පුබ්බාර</t>
  </si>
  <si>
    <t>රත්තනදෙනිය</t>
  </si>
  <si>
    <t>කීණගොඩ</t>
  </si>
  <si>
    <t>පොල්ගහපිටිය</t>
  </si>
  <si>
    <t>තඹාන</t>
  </si>
  <si>
    <t>මෑල්ලගම</t>
  </si>
  <si>
    <t>පිටදෙනිය</t>
  </si>
  <si>
    <t>අලාන</t>
  </si>
  <si>
    <t>කින්නරබෝව</t>
  </si>
  <si>
    <t>මොනරවාන</t>
  </si>
  <si>
    <t>දහගෝනිය</t>
  </si>
  <si>
    <t>ඇල්හේන</t>
  </si>
  <si>
    <t>ඇල්ලේකොණ</t>
  </si>
  <si>
    <t>මොනරාවාන</t>
  </si>
  <si>
    <t>සෙන්පතිගම</t>
  </si>
  <si>
    <t>කලුගහවාඩිය</t>
  </si>
  <si>
    <t>දහම්ගම</t>
  </si>
  <si>
    <t>කෝන්ගොල්ල</t>
  </si>
  <si>
    <t>කොටබෝව</t>
  </si>
  <si>
    <t>ගොඩිගමුව</t>
  </si>
  <si>
    <t>බිබිලමුල්ල</t>
  </si>
  <si>
    <t>නුගාමුර</t>
  </si>
  <si>
    <t>දිවියාපොල</t>
  </si>
  <si>
    <t>සේනාපතිය</t>
  </si>
  <si>
    <t>ඉලුක්කුඹුර</t>
  </si>
  <si>
    <t>පොතු බන්දන</t>
  </si>
  <si>
    <t>අයිවෙල</t>
  </si>
  <si>
    <t>පොතුබන්දන</t>
  </si>
  <si>
    <t>යකුන්නාව</t>
  </si>
  <si>
    <t>බැඳියාව</t>
  </si>
  <si>
    <t>මො/අමුණේකඳුර මහ විද්‍යාලයසඳහා නල ළිඳක් ඉදිකිරිම</t>
  </si>
  <si>
    <t>මො/බකිණිගහවෙල මුස්ලිම් ප්‍රාථමික විද්‍යාලයේ 90 x 25 තෙමහල් ගොඩනැගිල්ල ඉදිකිරිම (දෙවන අදියර)</t>
  </si>
  <si>
    <t>මො/කරමැටිය ක.වි. 40 x 20 ගුරු නිවාසය අලුත්වැඩියාව</t>
  </si>
  <si>
    <t>මො/පිටදෙනිය ප්‍රාථමික විද්‍යාලයට ජල පෙරණයක් සැපයිම</t>
  </si>
  <si>
    <t xml:space="preserve">මො/නන්නපුරාව මහා විද්‍යාලය - නව වැසිකිළි ඒකකයක් ඉදිකිරිම </t>
  </si>
  <si>
    <t>මො/බිබිලමුල්ල මහා විද්‍යාලයට නල ළිඳක් ඉදිකිරිම</t>
  </si>
  <si>
    <t>මඩුල්ල කොට්ඨාසය</t>
  </si>
  <si>
    <t>බදුළුවෙල</t>
  </si>
  <si>
    <t>තම්පලාවෙල</t>
  </si>
  <si>
    <t>අල්පිටිය</t>
  </si>
  <si>
    <t>ඉහාව</t>
  </si>
  <si>
    <t>මාරිආරාව</t>
  </si>
  <si>
    <t>නීලවබැද්ද</t>
  </si>
  <si>
    <t>ඔබ්බේගොඩ</t>
  </si>
  <si>
    <t>දඹගල්ල</t>
  </si>
  <si>
    <t>තැරෑල</t>
  </si>
  <si>
    <t>මකුල්ල</t>
  </si>
  <si>
    <t>ඉඟිණියාගල</t>
  </si>
  <si>
    <t>මුල්ලේගම</t>
  </si>
  <si>
    <t>නෙල්ලියද්ද</t>
  </si>
  <si>
    <t>ගල්ගමුව</t>
  </si>
  <si>
    <t>දැලිව</t>
  </si>
  <si>
    <t>තල්කොටයාය</t>
  </si>
  <si>
    <t>පංගුව</t>
  </si>
  <si>
    <t>බදුලුවෙල</t>
  </si>
  <si>
    <t>බණ්ඩාරවාඩිය</t>
  </si>
  <si>
    <t>අරාටුගස්වෙල</t>
  </si>
  <si>
    <t>ගල්බොක්ක</t>
  </si>
  <si>
    <t>මාගන්දන</t>
  </si>
  <si>
    <t>නාමල් ඔය ජනපදය</t>
  </si>
  <si>
    <t>රුවල්වෙල</t>
  </si>
  <si>
    <t>වටවනගම</t>
  </si>
  <si>
    <t>කෝට්ටගල</t>
  </si>
  <si>
    <t>ගංගොඩගම</t>
  </si>
  <si>
    <t>කොල්ලදෙණිය</t>
  </si>
  <si>
    <t>මාරිඅරාව</t>
  </si>
  <si>
    <t>රිටිගහවත්ත</t>
  </si>
  <si>
    <t>පොල්ගහගම</t>
  </si>
  <si>
    <t>අලුගල්ගේ</t>
  </si>
  <si>
    <t>කහගොල්ල</t>
  </si>
  <si>
    <t>මාගන්දාඔය ජනපදය</t>
  </si>
  <si>
    <t>ගංගොඩඅරාව</t>
  </si>
  <si>
    <t>ඇල්ලේ කොණ</t>
  </si>
  <si>
    <t>ගෝනතලාව</t>
  </si>
  <si>
    <t>උඩුමුල්ල</t>
  </si>
  <si>
    <t>ඉළුක්ලන්ද</t>
  </si>
  <si>
    <t>පඟුර</t>
  </si>
  <si>
    <t>මොනරාගල</t>
  </si>
  <si>
    <t>මොනරාගල කොට්ඨාසය</t>
  </si>
  <si>
    <t>නක්කල</t>
  </si>
  <si>
    <t>බටුගම්මන</t>
  </si>
  <si>
    <t>මාගන්දනමුල්ල</t>
  </si>
  <si>
    <t>මුප්පනේ</t>
  </si>
  <si>
    <t>මදුරුකැටිය</t>
  </si>
  <si>
    <t>හොරොම්බුව</t>
  </si>
  <si>
    <t>හුලංදාව</t>
  </si>
  <si>
    <t>බෝහිටිය</t>
  </si>
  <si>
    <t>කහම්බාන</t>
  </si>
  <si>
    <t>බුද්දම</t>
  </si>
  <si>
    <t>පල්ලේවෙල</t>
  </si>
  <si>
    <t>කොටාගොඩ</t>
  </si>
  <si>
    <t>සමනලබැද්ද</t>
  </si>
  <si>
    <t>මුතුකණ්ඩිය</t>
  </si>
  <si>
    <t>මහකළුගොල්ල</t>
  </si>
  <si>
    <t>සියඹලාණ්ඩුව</t>
  </si>
  <si>
    <t>කොඩයාන</t>
  </si>
  <si>
    <t>දොඹගහවෙල</t>
  </si>
  <si>
    <t>ලියන්ගොල්ල</t>
  </si>
  <si>
    <t>ඇතිමලේ</t>
  </si>
  <si>
    <t>තිස්සපුර</t>
  </si>
  <si>
    <t>කොටියාගල</t>
  </si>
  <si>
    <t>ගැමුණුපුර</t>
  </si>
  <si>
    <t>සියඹලාණ්ඩුව කොට්ඨාසය</t>
  </si>
  <si>
    <t>බුත්තල කොට්ඨාසය</t>
  </si>
  <si>
    <t>පැල්වත්ත</t>
  </si>
  <si>
    <t>යුදගනාව</t>
  </si>
  <si>
    <t>උඩගම</t>
  </si>
  <si>
    <t>ගාමිණිපුර</t>
  </si>
  <si>
    <t>මාලිගාවිල</t>
  </si>
  <si>
    <t>ඔක්කම්පිටිය</t>
  </si>
  <si>
    <t>ගෝනගංආර</t>
  </si>
  <si>
    <t>පුහුල්කොටුව</t>
  </si>
  <si>
    <t>මහසෙන්පුර</t>
  </si>
  <si>
    <t>කතරගම කොට්ඨාසය</t>
  </si>
  <si>
    <t>කරවිලේ</t>
  </si>
  <si>
    <t>සෙල්ලකතරගම</t>
  </si>
  <si>
    <t>කතරගම</t>
  </si>
  <si>
    <t>මයිලගම</t>
  </si>
  <si>
    <t>කඳසුරිඳුගම</t>
  </si>
  <si>
    <t>දෙටගමුව ජනපදය</t>
  </si>
  <si>
    <t>කතරගම නව නගරය</t>
  </si>
  <si>
    <t>බිබිල කොට්ඨාසය</t>
  </si>
  <si>
    <t>රදලියද්ද</t>
  </si>
  <si>
    <t>නිල්ගල</t>
  </si>
  <si>
    <t>නාගල</t>
  </si>
  <si>
    <t>බිබිල</t>
  </si>
  <si>
    <t>වෑගම</t>
  </si>
  <si>
    <t>මල්ලැහැව</t>
  </si>
  <si>
    <t>කුරුවාඹ</t>
  </si>
  <si>
    <t>දොඩම්ගොල්ල</t>
  </si>
  <si>
    <t>කොටගම</t>
  </si>
  <si>
    <t>වැල්ලවාය කොට්ඨාසය</t>
  </si>
  <si>
    <t>රන්දෙණිය</t>
  </si>
  <si>
    <t>කොටිකම්බොක්ක</t>
  </si>
  <si>
    <t>ආනපල්ලම</t>
  </si>
  <si>
    <t>වරුණගම</t>
  </si>
  <si>
    <t>වැල්ලවාය</t>
  </si>
  <si>
    <t>බුදුරුවගල</t>
  </si>
  <si>
    <t>නෙළුවගල</t>
  </si>
  <si>
    <t>හඳපානාගල</t>
  </si>
  <si>
    <t>සිරිපුරගම</t>
  </si>
  <si>
    <t>තෙළුල්ල</t>
  </si>
  <si>
    <t>මහආරගම</t>
  </si>
  <si>
    <t>ඌවකුඩාඔය</t>
  </si>
  <si>
    <t>බලහරුව</t>
  </si>
  <si>
    <t>තණමල්විල කොට්ඨාසය</t>
  </si>
  <si>
    <t>12</t>
  </si>
  <si>
    <t>13</t>
  </si>
  <si>
    <t>14</t>
  </si>
  <si>
    <t>15</t>
  </si>
  <si>
    <t>16</t>
  </si>
  <si>
    <t>17</t>
  </si>
  <si>
    <t>18</t>
  </si>
  <si>
    <t>19</t>
  </si>
  <si>
    <t>20</t>
  </si>
  <si>
    <t>කණ්ඩියපිටවැව</t>
  </si>
  <si>
    <t>කොටවෙහෙර මංකඩ</t>
  </si>
  <si>
    <t>හම්බේගමුව</t>
  </si>
  <si>
    <t>මහවැව</t>
  </si>
  <si>
    <t>සුරියආර</t>
  </si>
  <si>
    <t>සිත්තරම</t>
  </si>
  <si>
    <t>සීනුක්කුව</t>
  </si>
  <si>
    <t>බෝදාගම</t>
  </si>
  <si>
    <t>කටුපිලගම උතුර</t>
  </si>
  <si>
    <t>කටුපිලගම දකුණ</t>
  </si>
  <si>
    <t>සෙවනගල</t>
  </si>
  <si>
    <t>ඉඳිකොළපැලැස්ස</t>
  </si>
  <si>
    <t>හබරළුවැව</t>
  </si>
  <si>
    <t>කිරිඉබ්බන්වැව</t>
  </si>
  <si>
    <t xml:space="preserve">සමගිපුර </t>
  </si>
  <si>
    <t>නුගේගලයාය</t>
  </si>
  <si>
    <t>හබුරුගල</t>
  </si>
  <si>
    <t>හබරත්තාවෙල</t>
  </si>
  <si>
    <t>මහගම</t>
  </si>
  <si>
    <t>මුතුමිණිගම</t>
  </si>
  <si>
    <t>නාපේ</t>
  </si>
  <si>
    <t>මීයාගල</t>
  </si>
  <si>
    <t>බුද්ධම</t>
  </si>
  <si>
    <t>වරාගම</t>
  </si>
  <si>
    <t>ගොවිඳුපුර</t>
  </si>
  <si>
    <t>වේරගොඩ</t>
  </si>
  <si>
    <t>නැව්ගල</t>
  </si>
  <si>
    <t>බරවාය</t>
  </si>
  <si>
    <t>කූරගම්මන</t>
  </si>
  <si>
    <t>කළුගොල්ලයාය</t>
  </si>
  <si>
    <t>ගල් අමුණ</t>
  </si>
  <si>
    <t>යක්කදුරාව</t>
  </si>
  <si>
    <t>කරඹගොඩ</t>
  </si>
  <si>
    <t>විජිතපුර</t>
  </si>
  <si>
    <t>මඩුගම</t>
  </si>
  <si>
    <t>ගුරුහෙල</t>
  </si>
  <si>
    <t>නුගගහකිවුල</t>
  </si>
  <si>
    <t>කොටියාගොඩ</t>
  </si>
  <si>
    <t>ඉඳිගස්ඇස්ස</t>
  </si>
  <si>
    <t>බෙරලියපොල</t>
  </si>
  <si>
    <t>කිඹුලාවෙල</t>
  </si>
  <si>
    <t>විලඔය</t>
  </si>
  <si>
    <t>පහතආරාව</t>
  </si>
  <si>
    <t>මිණිපුර</t>
  </si>
  <si>
    <t>පැරකුම්පුර</t>
  </si>
  <si>
    <t>ඇතිමලේ ජනපදය</t>
  </si>
  <si>
    <t>සිරිපුර</t>
  </si>
  <si>
    <t>විජයපුර</t>
  </si>
  <si>
    <t>වත්තේගම</t>
  </si>
  <si>
    <t>කපුකොටුව පාරේ ලසන්ත මහතාගේ නිවස අසල සිට සුසන්ත මහතාගේ නිවස දක්වා මාර්ගය කොන්ක්‍රිට් කිරිම</t>
  </si>
  <si>
    <t>ප්‍රාදේශිය සභාව, සියඹලාණ්ඩුව</t>
  </si>
  <si>
    <t>රුහුණු දනව්ව</t>
  </si>
  <si>
    <t>මො/විලඔය ශ්‍රීපාලි මහ විද්‍යාලයේ 70 x 20  ගොඩනැගිල්ල අලුත්වැඩියා කිරිම</t>
  </si>
  <si>
    <t>මො/පල්ලේවෙල ප්‍රාථමික විද්‍යාලයේ 90 x 25 නව තෙමහල් ගොඩනැගිල්ල ඉදිකිරිම (පළමු අදියර)</t>
  </si>
  <si>
    <t>හෙලමුල්ල</t>
  </si>
  <si>
    <t>මනාභරණ</t>
  </si>
  <si>
    <t>මො/ආනන්ද කණ්ෂ්ඨ විද්‍යාලයේ 40 x 30  ගුරු නිවාස ගොඩනැගිල්ල අලුත්වැඩියා කිරිම</t>
  </si>
  <si>
    <t>මො/වත්තේගම සිරිමල් කණිෂ්ඨ විද්‍යාලයේ 40 x 30  ගොඩනැගිල්ල අලුත්වැඩියා කිරිම</t>
  </si>
  <si>
    <t>මො/තිස්සපුර කණිෂ්ඨ විද්‍යාලයේ 100 x 20  ගොඩනැගිල්ල අලුත්වැඩියා කිරිම</t>
  </si>
  <si>
    <t>මො/රාහුල කණිෂ්ඨ විද්‍යාලයේ 40 x 30  ගොඩනැගිල්ල අලුත්වැඩියා කිරිම</t>
  </si>
  <si>
    <t>මො/කොඩයාන මහා විද්‍යාලයේ 100 x 20  ගොඩනැගිල්ල අලුත්වැඩියා කිරිම</t>
  </si>
  <si>
    <t>මො/ගගෙආරාව කණිෂ්ඨ විද්‍යාලයේ 40 x 30  ගොඩනැගිල්ල අලුත්වැඩියා කිරිම</t>
  </si>
  <si>
    <t>මො/පල්ලේවෙල මහ විද්‍යාලයේ 100 x 20 ගොඩනැගිල්ල අලුත්වැඩියා කිරිම</t>
  </si>
  <si>
    <t>මො/කොඩයාන මහා විද්‍යාලයේ නව වැසිකිළි ඉදිකිරිම</t>
  </si>
  <si>
    <t>මො/කොන්ගස්පිටිය කණිෂ්ඨ විද්‍යාලයේ</t>
  </si>
  <si>
    <t>මො/ගුරුහෙල කණ්ෂ්ඨ විද්‍යාලයේ ජල සැපයුම් පද්ධතිය ප්‍රතිසංස්කරණය කිරිම</t>
  </si>
  <si>
    <t>මො/කන්ද උඩපංගුව විද්‍යාලයේ විශේෂ අධ්‍යාපන ඒකකය අලුත්වැඩියා කිරිම</t>
  </si>
  <si>
    <t>පොතුවිල් පාරේ සිට 6 වන ගම්මාන පාරේ ගාමිණි මහතාගේ නිවස දක්වා කොන්ක්‍රිට් කිරිම</t>
  </si>
  <si>
    <t>කෑගලුයායේ වමීර මහතාගේ නිවස අසල සිට කරුණාපාල මහතාගේ නිවස දක්වා මාර්ගය කොන්ක්‍රිට් කිරිම</t>
  </si>
  <si>
    <t>බී පාරේ ඉන්දික ප්‍රියන්ත මහතාගේ නිවස අසල සිට මාර්ගය කොන්ක්‍රිට් කිරිම</t>
  </si>
  <si>
    <t>දයාරත්න වී මෝල අසල සිට ප්‍රේමචන්දු මහතාගේ නිවස දක්වා මාර්ගය කොන්ක්‍රිට් කිරිම</t>
  </si>
  <si>
    <t>නාගලෙන පහල මාර්ගය (කොරපිටිය වැව අසල) කොන්ක්‍රිට් කිරිම</t>
  </si>
  <si>
    <t>මො/රිටිගහවත්ත කණිෂ්ඨ විද්‍යාලයේ වැසිකිළි ප්‍රතිසංස්කරණය කිරිම</t>
  </si>
  <si>
    <t>අඹගහපිටිය</t>
  </si>
  <si>
    <t>කොස්වත්තේ ඩී.එම්.සරත් මහතාගේ නිවස අසල සිට ටී.ඩබ්.අප්පුහාමි මහතාගේ නිවස දක්වා මාර්ගය කොන්ක්‍රිට් කිරිම</t>
  </si>
  <si>
    <t>දනකිරිය මල්ගස්ආකර පාරේ ඩී.එම්.සිරිවර්ධන මහතාගේ නිවස අසල සිට ඩී.එම්.ගුණවර්දන මහතාගේ නිවස දක්වා මාර්ගය කොන්ක්‍රිට් කිරිම</t>
  </si>
  <si>
    <t>ජනසවි පාරේ වර්ණපාල මහතාගේ ඉඩම අසල සිට රුවන් මහතාගේ නිවස දක්වා මාර්ගය කොන්ක්‍රිට් කිරිම</t>
  </si>
  <si>
    <t>ඉනිවැල්ලගම 10 වන කොටස මාර්ගය කොන්ක්‍රිට් කිරිම</t>
  </si>
  <si>
    <t>කොටියාගල ජල ව්‍යාපෘතිය වැඩිදියුණු කිරිම</t>
  </si>
  <si>
    <t>සියඹලාණ්ඩුව ආදාහනාගාරය වැඩිදියුණු කිරිම (ආරක්ෂිත වැට ඉදිකිරිම)</t>
  </si>
  <si>
    <t>කිවුලේයාය 40 ඒ වතුයාය පාර කොන්ත්‍රිට් කිරිම</t>
  </si>
  <si>
    <t>කිවුලේයාය 40 බී වතුයාය පාර කොන්ත්‍රිට් කිරිම</t>
  </si>
  <si>
    <t>රාහුල පෙරපාසලේ ගොඩනැගිල්ල අලුත්වැඩියාව</t>
  </si>
  <si>
    <t>දිමුතු පෙර පාසලේ ආරක්ෂිත වැට ඉදිකිරිම</t>
  </si>
  <si>
    <t>නවෝද්‍යා පෙර පාසලේ ආරක්ෂිත වැට ඉදිකිරිම</t>
  </si>
  <si>
    <t>සෙත්මිණි පෙරපාසල සඳහා විදුලිය ලබාදිම</t>
  </si>
  <si>
    <t>රෝයල් කිඩ්ස් පෙරපාසල සඳහා විදුලිය ලබාදිම</t>
  </si>
  <si>
    <t>පුබුදු පෙරපාසල සඳහා විදුලිය ලබාදිම</t>
  </si>
  <si>
    <t>දිමුතු  පෙරපාසල සඳහා විදුලිය ලබාදිම</t>
  </si>
  <si>
    <t>රන්කැකුළු පෙරපාසල සඳහා විදුලිය ලබාදිම</t>
  </si>
  <si>
    <t>සමරවික්‍රම පෙරපාසල සඳහා ජල පහසුකම් ලබාදිම</t>
  </si>
  <si>
    <t>මහකළුගොල්ල විදුලි දිගුව</t>
  </si>
  <si>
    <t>කොටියාගල ප්‍රාථමික සෞඛ්‍ය සත්කාර ඒකකය අලුත්වැඩියා කිරිම</t>
  </si>
  <si>
    <t>ඇතිමලේ ප්‍රාදේශිය රෝහලේ මුළුතැන්ගෙය පිළිසකර කිරිම</t>
  </si>
  <si>
    <t>ඇතිමලේ ප්‍රාදේශිය රෝහලේ හෙද නිලධාරි විවේකාගාරය අලුත්වැඩියා කිරිම</t>
  </si>
  <si>
    <t>ඇතිමලේ ප්‍රාදේශිය රෝහලේ හෙද නිලධාරි නිල නිවාසය අලුත්වැඩියා කිරිම</t>
  </si>
  <si>
    <t>විලඔය සායන මධ්‍යස්ථානය අලුත්වැඩියා කිරිම</t>
  </si>
  <si>
    <t>පුවක්ගොඩ හන්දියේ සිට උයනබැද්ද මීයාගල මාර්ගය කාපට් කිරිම</t>
  </si>
  <si>
    <t>සියඹලාණ්ඩුව පොතුවිල් පාරේ බස්නැවැතුම්පල ඉදිකිරිම</t>
  </si>
  <si>
    <t>දොඹගහවෙල මහ විදුහල අසල බස් නැවැතුම්පොල ඉදිකිරිම</t>
  </si>
  <si>
    <t>මහකළුගොල්ල වාරිමාර්ග හන්දිය අසල බස්නැවැතුම්පල ඉදිකිරිම</t>
  </si>
  <si>
    <t>කදන්කැටිය රුප්පෙබැද්ද කෘෂී මාර්ගය සංවර්ධනය කිරිම</t>
  </si>
  <si>
    <t>දනකිරිය සැදැල්ල වැව සංවර්ධනය කිරිම</t>
  </si>
  <si>
    <t>හිරිපිටිය හන්දිය අසල බස්නැවැතුම්පොල ඉදිකිරිම</t>
  </si>
  <si>
    <t>වට්ටාරම වැවේ Spill Tail Canal</t>
  </si>
  <si>
    <t>ටැංවත්ත</t>
  </si>
  <si>
    <t>හිඳිකිවුල</t>
  </si>
  <si>
    <t>දෙබැද්දේකිවුල</t>
  </si>
  <si>
    <t>රත්තනපිටිය</t>
  </si>
  <si>
    <t>විහාරමුල්ල</t>
  </si>
  <si>
    <t>වැලියාය</t>
  </si>
  <si>
    <t>අලියාවත්ත</t>
  </si>
  <si>
    <t>කුඹුක්කන</t>
  </si>
  <si>
    <t>හුලංදාව දකුණ</t>
  </si>
  <si>
    <t>හුලංදාව වම</t>
  </si>
  <si>
    <t>කොලොන්වින්න</t>
  </si>
  <si>
    <t>කවුඩාව</t>
  </si>
  <si>
    <t>වෙහෙරගල</t>
  </si>
  <si>
    <t>මාරාව</t>
  </si>
  <si>
    <t>කුකුරම්පොල</t>
  </si>
  <si>
    <t>මො/හෙලගම කණිෂ්ඨ විද්‍යාලයේ 80 X 20 වීරකැප්පෙටිපොල ශාලාව අලුත්වැඩියා කිරිම</t>
  </si>
  <si>
    <t>හොරබොක්ක</t>
  </si>
  <si>
    <t>මො/සිද්ධාර්ථ මහ විද්‍යාලයේ 80 X 20 ප්‍රධාන ශාලාව අලුත්වැඩියා කිරිම</t>
  </si>
  <si>
    <t>රහතන්ගම</t>
  </si>
  <si>
    <t>උනාවටුන</t>
  </si>
  <si>
    <t>මො/උනාවටුන කණිෂ්ඨ විද්‍යාලයේ 100 X 20 කාවන්තිස්ස ශාලාව අලුත්වැඩියා කිරිම</t>
  </si>
  <si>
    <t>මො/යුධගනාව කණිෂ්ඨ විද්‍යාලයේ 120 X 30 සුභාරතී ශාලාව අලුත්වැඩියා කිරිම</t>
  </si>
  <si>
    <t>මහගොඩයාය</t>
  </si>
  <si>
    <t xml:space="preserve">මො/උනාවටුන විද්‍යාලයේ නව වැසිකිළිය ඉදිකිරිම </t>
  </si>
  <si>
    <t>මො/දුටුගැමුණු ප්‍රාථමික විද්‍යාලයේ වැසිකිළි අලුත්වැඩියා කිරිම</t>
  </si>
  <si>
    <t>වගුරුවෙල</t>
  </si>
  <si>
    <t>මො/වගුරුවෙල මහ විද්‍යාලයේ වැසිකිළි හා ජලනල පද්ධතිය අල්තුවැඩියා කිරිම</t>
  </si>
  <si>
    <t>ග්‍රීන්විව් හෝටලය අසල අතුරු මාර්ගය කොන්ක්‍රිට් කිරිම</t>
  </si>
  <si>
    <t>කෝන්කැටිය</t>
  </si>
  <si>
    <t>19 වන සැතපුම් කණුව සුසාන භූමිය අසල අතුරු මාර්ගය කොන්ක්‍රිට් කිරිම</t>
  </si>
  <si>
    <t>21 වන සැතපුම් කණුව සුසාන භූමිය පිවිසුම් මාර්ගය කොන්ක්‍රිට් කිරිම</t>
  </si>
  <si>
    <t>21 වන සැතපුම් කණුව නල ළිඳ අසල මාර්ගය කොන්ක්‍රිට් කිරිම</t>
  </si>
  <si>
    <t>ගල්ටැම්මණ්ඩිය</t>
  </si>
  <si>
    <t>රත්නපුර නිවස අසල අතුරු මාර්ගය කොන්ක්‍රිට් කිරිම</t>
  </si>
  <si>
    <t>පලුගස්මඩ පාසල් අතුරු මාර්ගය කොන්ක්‍රිට් කිරිම</t>
  </si>
  <si>
    <t>දික්යාය</t>
  </si>
  <si>
    <t>උඩආරාව</t>
  </si>
  <si>
    <t>පෙට්ටගම්වෙල</t>
  </si>
  <si>
    <t>යටියැල්ලාතොට</t>
  </si>
  <si>
    <t>පහලගම</t>
  </si>
  <si>
    <t>බුරුතගොල්ල</t>
  </si>
  <si>
    <t xml:space="preserve">කුමාරගම </t>
  </si>
  <si>
    <t>කුමාරපුර</t>
  </si>
  <si>
    <t>උළුගල</t>
  </si>
  <si>
    <t>මිනිපුරගම</t>
  </si>
  <si>
    <t xml:space="preserve">කසල ප්‍රතිචක්‍රීයකරණ මධ්‍යස්ථානය ඉදිකිරීම </t>
  </si>
  <si>
    <t xml:space="preserve">මො/ජනාසංක කණිෂ්ඨ විද්‍යාලයේ 30 X 20 ගුරු නිවාස ගොඩනැගිල්ල අලුත්වැඩියා කිරිම                                  </t>
  </si>
  <si>
    <t xml:space="preserve">අක්කර 100 මාර්ගය කොන්ක්‍රීට් කිරිම </t>
  </si>
  <si>
    <t xml:space="preserve">මො/නියදැල්ල කණිෂ්ඨ විද්‍යාලයේ 100 X 20  ශාලාව අලුත්වැඩියා කිරිම                                                        </t>
  </si>
  <si>
    <t xml:space="preserve">යුදගනාව පිල්ලේවෙල වැව මාර්ගය කොන්ක්‍රීට් කිරිම </t>
  </si>
  <si>
    <t>ජයතිස්ස මහතාගේ නිවස අසල ඇලමාන යාය මාර්ගය කොන්ක්‍රිට් කිරිම</t>
  </si>
  <si>
    <t>අලුත්වෙල මැදගම පුරාණ විහාරය මාර්ගය කොන්ක්‍රීට් කිරිම</t>
  </si>
  <si>
    <t>සුගතෝදය පෙරපාසලේ ආරක්ෂිත වැට ඉදිකිරිම</t>
  </si>
  <si>
    <t>වගුරුවෙල පුබුදු පෙර පාසල සඳහා විදුලිය ලබා ගැනීම</t>
  </si>
  <si>
    <t>නයෝමි පෙර පාසල සඳහා විදුලිය ලබා දීම</t>
  </si>
  <si>
    <t>මහින්ද පෙර පාසල සඳහා විදුලිය ලබා දීම</t>
  </si>
  <si>
    <t>දිනිති පෙරපාසල් ලී බඩු උපකරණ ලබා දීම</t>
  </si>
  <si>
    <t xml:space="preserve">දිනිති පෙරපාසල් ගොඩනැගිල්ල ප්‍රතිසංස්කරණය </t>
  </si>
  <si>
    <t>දිමුතු  පෙරපාසල් ලී බඩු උපකරණ ලබා දීම</t>
  </si>
  <si>
    <t>අරුනෝදය පෙර පාසලට ලී බඩු උපකරණ ලබා දීම</t>
  </si>
  <si>
    <t>මිණිමුතු පෙරපාසල් ලී බඩු උපකරණ ලබා දීම</t>
  </si>
  <si>
    <t>බියුටි කිඩ්ස් පෙරපාසල් ලී බඩු උපකරණ ලබා දීම</t>
  </si>
  <si>
    <t>බුබුල කන්ද ජල රක්ෂිතයේ වැට ඉදිකර සංරක්ෂණය කිරිම</t>
  </si>
  <si>
    <t>බුත්තල ප්‍රාදේශීය රෝහලේ වාට්ටු අංක 02 සහ ප්‍රසූතිකාගාරයේ වහලය නවීකරණය කිරිම</t>
  </si>
  <si>
    <t>බුත්තල ප්‍රාදේශීය රෝහලේ වාට්ටු අංක 06 ප්‍රතිසංස්කරණය කිරිම</t>
  </si>
  <si>
    <t>උළුගල සෞඛ්‍ය මධ්‍යස්ථානය අලුත්වැඩියා කිරිම</t>
  </si>
  <si>
    <t>ප්‍රාදේශීය සෞඛ්‍ය සේවා අධ්‍යක්ෂ කාර්යාලය, මොනරාගල</t>
  </si>
  <si>
    <t>පළාත් මුල් ළමාවිය සංවර්ධන අධිකාරිය</t>
  </si>
  <si>
    <t>ඔක්කම්පිටිය ප්‍රාදේශිය රෝහලේ අභ්‍යන්තර පිවිසුම් මාර්ගය අලුත්වැඩියා කිරිම</t>
  </si>
  <si>
    <t>ප්‍රාදේශිය සෞඛ්‍ය සේවා අධ්‍යක්ෂ කාර්යාලය, මොනරාගල</t>
  </si>
  <si>
    <t>පළාත් සෞඛ්‍ය අමාත්‍යාංශය</t>
  </si>
  <si>
    <t>ඔක්කම්පිටිය ප්‍රාදේශිය රෝහලේ වාට්ටු අංක 03 හා 04 වැසිකිලි පද්ධතිය අලුත්වැඩියා කිරිම</t>
  </si>
  <si>
    <t>16 වන සැතපුම් කණුව සාගිනි වටරවුම් මාර්ගය කොන්ක්‍රිට් කිරිම</t>
  </si>
  <si>
    <t>බුත්තල ප්‍රාදේශිය රෝහලේ පිරිපහදු කරන ලද පානීය ජලය සියවම වාට්ටු සඳහා ලබාදීමට ජල ටැංකියක් සහ ජලනල පද්ධතියක් සැකසීම</t>
  </si>
  <si>
    <t>පරණ බුත්තල පාර අසල චමිල මහතාගේ නිවස අසල සිට පුවක්පිටිය කෘෂී මාර්ගය සංවර්ධනය කිරිම</t>
  </si>
  <si>
    <t>ඌව පළාත් කෘෂීකර්ම අමාත්‍යංශය</t>
  </si>
  <si>
    <t>ප්‍රාදේශිය ලේකම් කාර්යාලය, බුත්තල</t>
  </si>
  <si>
    <t xml:space="preserve">මො/කුකුරම්පොල මහ විද්‍යාලයේ 40 X 20 සමාධි ශාලාව අලුත්වැඩියා කිරිම                          </t>
  </si>
  <si>
    <t>දොරවෙල පිවිසුම් මාර්ගය කොන්ක්‍රිට් කිරිම</t>
  </si>
  <si>
    <t>9/11 ජල පොම්පාගාරයේ ආරක්ෂක වැට ඉදිකිරිම</t>
  </si>
  <si>
    <t xml:space="preserve">මො/විහාරමහාදේවි කණිෂ්ඨ විද්‍යාලයේ 120 X 20 ගොඩනැගිල්ල අලුත්වැඩියා කිරිම                                 </t>
  </si>
  <si>
    <t xml:space="preserve">දිය කිරිත්ත ජල ව්‍යාපෘතියේ ජල පද්ධතිය වැඩිදියුණු කිරිම </t>
  </si>
  <si>
    <t xml:space="preserve">පෙතියන්ආරෙහි නගරිගල ආරණ්‍ය අසල අතුරු මාර්ගය කොන්ක්‍රිට් කිරිම                                                          </t>
  </si>
  <si>
    <t xml:space="preserve">උළුවෙල මාලිගාවෙල අතුරු මාර්ගය කොන්ක්‍රීට් කිරිම </t>
  </si>
  <si>
    <t xml:space="preserve">ජල පොම්පාගාරයේ ජලනල පද්ධතිය වැඩිදියුණූ කිරිම </t>
  </si>
  <si>
    <t xml:space="preserve">කරවිලේ </t>
  </si>
  <si>
    <t>දෙටගමුව</t>
  </si>
  <si>
    <t>කුරුගම</t>
  </si>
  <si>
    <t>රන්දෙනිය</t>
  </si>
  <si>
    <t>සියඹලාගුණය</t>
  </si>
  <si>
    <t>දිඹුලාමුරේ</t>
  </si>
  <si>
    <t>සුදුපානාවෙල</t>
  </si>
  <si>
    <t>යාලබෝව</t>
  </si>
  <si>
    <t>නුගයාය</t>
  </si>
  <si>
    <t>පුබුදුවැව</t>
  </si>
  <si>
    <t>රන්දෙණිගොඩයාය</t>
  </si>
  <si>
    <t>ඇතිලිවැව</t>
  </si>
  <si>
    <t>තෙළුල්ල ජනපදය</t>
  </si>
  <si>
    <t>කිතුල්කොටේ</t>
  </si>
  <si>
    <t>දෙබරආර</t>
  </si>
  <si>
    <t>වෙහෙරයාය ජනපදය</t>
  </si>
  <si>
    <t>වෙහෙරයාය</t>
  </si>
  <si>
    <t>ඌව කුඩාඔය</t>
  </si>
  <si>
    <t>කොටවෙහෙරමංකඩ</t>
  </si>
  <si>
    <t>නිකවැව</t>
  </si>
  <si>
    <t>උස්ගල</t>
  </si>
  <si>
    <t>කහකුරුල්ලන් පෑලැස්ස</t>
  </si>
  <si>
    <t>කිවුල්ආර</t>
  </si>
  <si>
    <t>අලුත්වැව</t>
  </si>
  <si>
    <t>හම්බේගමුව ජනපදය</t>
  </si>
  <si>
    <t>පුංචිවැව</t>
  </si>
  <si>
    <t>බහිරාව</t>
  </si>
  <si>
    <t>හබරුගල</t>
  </si>
  <si>
    <t>වැලිආර</t>
  </si>
  <si>
    <t>කටුපිලගම</t>
  </si>
  <si>
    <t>ඉඳිකොළපෑලැස්ස</t>
  </si>
  <si>
    <t>සමගිපුර</t>
  </si>
  <si>
    <t>පිටකුඹුර</t>
  </si>
  <si>
    <t>කණවේගල්ල</t>
  </si>
  <si>
    <t>කරගහවෙල බටහිර</t>
  </si>
  <si>
    <t>කරගහවෙල නැගෙනහිර</t>
  </si>
  <si>
    <t>කොකුන්නෑව</t>
  </si>
  <si>
    <t>තොටිල්ලකැටිය</t>
  </si>
  <si>
    <t>වෑගම දකුණ</t>
  </si>
  <si>
    <t>වෑගම උතුර</t>
  </si>
  <si>
    <t>කණුල්වෙල</t>
  </si>
  <si>
    <t>බදුල්ලගම්මන</t>
  </si>
  <si>
    <t>රතුපස්කැටිය</t>
  </si>
  <si>
    <t>ඊතණවත්ත</t>
  </si>
  <si>
    <t>කවුඩැල්ල</t>
  </si>
  <si>
    <t>බුළුපිටිය</t>
  </si>
  <si>
    <t>හාමාපොල</t>
  </si>
  <si>
    <t>අබේලන්ද</t>
  </si>
  <si>
    <t>උඩමල්ලැහැව</t>
  </si>
  <si>
    <t>කෙහෙල්අත්තාවෙල</t>
  </si>
  <si>
    <t>අඹගොල්ල</t>
  </si>
  <si>
    <t>හෙවෙල්වෙල</t>
  </si>
  <si>
    <t>උස්සාගල</t>
  </si>
  <si>
    <t>මූදියල</t>
  </si>
  <si>
    <t>ඌරාවුල</t>
  </si>
  <si>
    <t>කරාඬුගල</t>
  </si>
  <si>
    <t>තානායම්ගම</t>
  </si>
  <si>
    <t>දෙහිඅත්තාවෙල</t>
  </si>
  <si>
    <t>මැදපිටිය</t>
  </si>
  <si>
    <t>යල්කුඹුර</t>
  </si>
  <si>
    <t>මොරත්තමුල්ල</t>
  </si>
  <si>
    <t>ළිඳකුඹුර</t>
  </si>
  <si>
    <t>මො/ධර්මප්‍රදීප ප්‍රාථමික විද්‍යාලය 90 x 25 තෙමහල් ගොඩනැගිල්ල ඉදිකිරිම</t>
  </si>
  <si>
    <t>මො/දොඩම්ගොල්ල මහ විද්‍යාලයේ  90 x 25 නව දෙමහල් ගොඩනැගිල්ල ඉදිකිරිම</t>
  </si>
  <si>
    <t>මො/දොඩම්ගොල්ල මහ විද්‍යාලයේ  80 x 20 ගොඩනැගිල්ල අලුත්වැඩියාව</t>
  </si>
  <si>
    <t>මො/මල්ලැහැව මහ විද්‍යාලයේ 40 x 20 විදුහල්පති නිල නිවස අලුත්වැඩියාව</t>
  </si>
  <si>
    <t>මො/මල්ලැහැව මහ විද්‍යාලයේ 90 x 25 ගොඩනැගිල්ලේ ආපදා තත්ත්වය අවම කිරිම සඳහා පිළියම් යෙදිම</t>
  </si>
  <si>
    <t>මො/බුළුපිටිය මහ විද්‍යාලයේ 40 x 20 ගුරු නිවස අලුත් වැඩියාව</t>
  </si>
  <si>
    <t>06.කොටගම</t>
  </si>
  <si>
    <t># තානායම්ගම</t>
  </si>
  <si>
    <t># යල්කුඹුර</t>
  </si>
  <si>
    <t># මූදියල</t>
  </si>
  <si>
    <t># කොටගම</t>
  </si>
  <si>
    <t># එගොඩකොටගම</t>
  </si>
  <si>
    <t>බොකාගොන්න</t>
  </si>
  <si>
    <t>එගොඩ කොටගම</t>
  </si>
  <si>
    <t>මො/ශ්‍රීවානි දෙමළ විද්‍යාලයේ විදුහල්පති නිල නිවස අලුත්වැඩියාව</t>
  </si>
  <si>
    <t>මො/ශ්‍රීවානි දෙමළ විද්‍යාලයේ අපජල කාණු පද්ධතිය ඉදිකිරිම</t>
  </si>
  <si>
    <t>මො/මූදියල මහ විද්‍යාලයේ ජලනල පද්ධතිය ප්‍රතිසංස්කරණය කිරිම</t>
  </si>
  <si>
    <t>මො/රදලියද්ද විද්‍යාලය සඳහා නල ළීඳක් ඉදිකිරිම</t>
  </si>
  <si>
    <t>බිබිල මැදගම කලාප කාර්යාලයේ ගොඩනැගිලි ප්‍රතිසංස්කරණය කිරිම</t>
  </si>
  <si>
    <t>කතරගම ප්‍රාදේශිය රෝහලේ බාහිර රෝගි අංශ (OPD) ගොඩනැගිල්ල ප්‍රතිසංස්කරණය කිරිම</t>
  </si>
  <si>
    <t>කතරගම ප්‍රාදේශිය රෝහලේ මෝචරිය අලුත්වැඩියා කිරිම</t>
  </si>
  <si>
    <t>කතරගම ප්‍රාදේශිය රෝහලේ තාවකාලික කසල ගබඩා කරන ස්ථානයක් ඉදිකරවා ගැනිම</t>
  </si>
  <si>
    <t>හම්බේගමුව ප්‍රාදේශිය රෝහලේ වාට්ටු අංක 04 අලුත්වැඩියාව</t>
  </si>
  <si>
    <t>හම්බේගමුව ප්‍රාදේශිය රෝහලේ පැරණි බාහිර රෝගි අංශ ගොඩනැගිල්ල කාර්ය මණ්ඩල නිල නිවාස අලුත්වැඩියාව කිරිම</t>
  </si>
  <si>
    <t>තණමල්විල ප්‍රාදේශිය රෝහල වටා ආරක්ෂිත වැටක් ඉදිකර ගැනිම</t>
  </si>
  <si>
    <t>තණමල්විල සෞඛ්‍ය වෛද්‍ය නිලධාරි කාර්යාලයේ වැට අලුත්වැඩියාව</t>
  </si>
  <si>
    <t>තණමල්විල රෝහලේ හදිසි ප්‍රතිකාර ඒකකයේ හා වෛද්‍ය ලේඛනාගාරයේ දොරවල් අලුත්වැඩියා කිරිම</t>
  </si>
  <si>
    <t>හම්බේගමුව ප්‍රාදේශිය රෝහලේ ජෙනරේටර් කාමරයේ වහලය අලුත්වැඩියා කිරිම</t>
  </si>
  <si>
    <t>මහාචාර්ය සේනක බිබිලේ අනුස්මරණ රෝහලේ සායන රෝගීන් සඳහා වැසිකිළි පහසුකම් පුළුල් කිරිම</t>
  </si>
  <si>
    <t>මහාචාර්ය සේනක බිබිලේ අනුස්මරණ රෝහලේ පවිත්‍රතා අංශය සඳහා විවේක කාමර ඉදිකිරිම</t>
  </si>
  <si>
    <t>බිබිල සෞඛ්‍ය වෛද්‍ය නිලධාරි නිල නිවස අලුත්වැඩියාව</t>
  </si>
  <si>
    <t>මුලික රෝහල බිබිල - වෛද්‍ය නිලධාරි නිලනිවාස නවීකරණය කිරිම (දෙවන මහල)</t>
  </si>
  <si>
    <t>බිබිල මුලික රෝහලේ ශල්‍යාගාරය නවීකරණය කිරිම (අදියර ll) (අවිච්ඡේද)</t>
  </si>
  <si>
    <t>බිබිල මූලික රෝහලේ මළාපවහන පද්ධතිය ඉදිකිරිම</t>
  </si>
  <si>
    <t>දඹගල්ල ප්‍රාදේශිය රෝහලේ ගිලන්රථ ගරාජය සහ රියදුරු විවේකාගාරය අලුත්වැඩියාව</t>
  </si>
  <si>
    <t>ඉඟිනියාගල ප්‍රාදේශිය රෝහල වටා වැට සකස් කිරිම</t>
  </si>
  <si>
    <t>දඹගල්ල ප්‍රාදේශිය රෝහලේ වාට්ටුවල කාණු පද්ධතිය  අලුත්වැඩියාව</t>
  </si>
  <si>
    <t>මඩුල්ල සෞඛ්‍ය වෛද්‍ය නිලධාරි කාර්යාලයේ දැලිව සෞඛ්‍ය මධ්‍යස්ථානය අලුත්වැඩියාව</t>
  </si>
  <si>
    <t>දඹගල්ල ප්‍රාදේශිය රෝහලේ හදිසි ප්‍රතිකාර ඒකකයේ, බාහිර රෝගී අංශයේ, සැරහුම් කාමරය වීදුරු යොදා ආවරණය කිරිම</t>
  </si>
  <si>
    <t>මැදගම ප්‍රාදේශිය රෝහලේ වාට්ටු අංක 03, 04 සම්පුර්ණ අලුත්වැඩියාව</t>
  </si>
  <si>
    <t>මැදගම ප්‍රාදේශිය රෝහලේ කාණු පද්ධතිය පිළිසකර කිරිම</t>
  </si>
  <si>
    <t>මැදගම සෞඛ්‍ය වෛද්‍ය නිලධාරි කාර්යාලය යටතේ වන රත්තනදෙනිය සායන මධ්‍යස්ථානය අලුත්වැඩියාව</t>
  </si>
  <si>
    <t>මැදගම ප්‍රාදේශිය රෝහලේ මුළුතැන්ගෙය අලුත්වැඩියා කිරිම</t>
  </si>
  <si>
    <t>නන්නපුරාව ප්‍රාථමික සත්කාර ඒකකයේ පානීය ජලය සඳහා යොදා ගන්නා ළිඳ ආරක්ෂිත ලෙස ආවරණය කිරිම</t>
  </si>
  <si>
    <t>මැදගම ප්‍රාදේශිය රෝහලේ වෛද්‍ය නිලධාරි නිල නිවාස 02 හි වැසිකිළි වළවල් සකස් කිරිම</t>
  </si>
  <si>
    <t>නන්නපුරාව ප්‍රාථමික සත්කාර ඒකකයේ ඉඩම වටා වැට අලුත්වැඩියා කිරිම</t>
  </si>
  <si>
    <t>මුළු දිස්ත්‍රික්කය</t>
  </si>
  <si>
    <t>දිස්ත්‍රික්කයේ සෞඛ්‍ය කාර්ය මණ්ඩල පුහුණු වැඩසටහන සහ ධාරිතා සංවර්ධනය - මොනරාගල ප්‍රාදේශිය සෞඛ්‍ය සේවා අධ්‍යක්ෂ කාර්යාලය</t>
  </si>
  <si>
    <t>වැඩසටහන් ප්‍රගතිය තක්සේරු කිරිම සඳහා රැස්විම් - මොනරාගල ප්‍රාදේශිය සෞඛ්‍ය සේවා අධ්‍යක්ෂ කාර්යාලය</t>
  </si>
  <si>
    <t>ගෘහ භාණ්ඩ හා කාර්යාලීය උපකරණ මිල දි ගැනිම</t>
  </si>
  <si>
    <t>වෛද්‍ය උපකරණ මිල දි ගැනිම</t>
  </si>
  <si>
    <t>ජංගම කඳවුරු සහ අනෙකුත් හදිසි සේවා පැවැත්විම</t>
  </si>
  <si>
    <t>වාහන අලුත්වැඩියාව</t>
  </si>
  <si>
    <t>මොනරාගල ප්‍රාදේශිය වෛද්‍ය සැපයුම් ඒකකයේ ඉඩම වටා වැට ඉදිකිරිම</t>
  </si>
  <si>
    <t>මොනරාගල ප්‍රාදේශිය සෞඛ්‍ය සේවා අධ්‍යක්ෂ කාර්යාලයේ නඩත්තු ඒකකයේ අලුත්වැඩියාව හා නවීකරණය</t>
  </si>
  <si>
    <t>මොනරාගල ප්‍රාදේශිය සෞඛ්‍ය සේවා අධ්‍යක්ෂ කාර්යාලයේ අප ජල කළමනාකරණ පද්ධතිය වැඩිදියුණු කිරිම</t>
  </si>
  <si>
    <t>මොනරාගල සෞඛ්‍ය වෛද්‍ය නිලධාරි කාර්යාලයට අයත් බෝහිටිය සෞඛ්‍ය මධ්‍යස්ථානයේ වැට හා ගේට්ටුව ඉදිකිරිම</t>
  </si>
  <si>
    <t>ළය චිකිත්සාගාරයේ වහල අලුත්වැඩියා කිරිම හා තීන්ත ආලේපනය කිරිම</t>
  </si>
  <si>
    <t>මොනරාගල ප්‍රාදේශිය සෞඛ්‍ය සේවා අධ්‍යක්ෂ කාර්යාලයේ වහලය අලුත්වැඩියා කිරිම</t>
  </si>
  <si>
    <t>මොනරාගල ප්‍රාදේශිය සෞඛ්‍ය සේවා අධ්‍යක්ෂ කාර්යාලයේ කෑම කාමරයේ පැන්ට්‍රි කබඩ් අලුත්වැඩියා කිරිම</t>
  </si>
  <si>
    <t>සෞඛ්‍ය අධ්‍යාපන ඒකකයේ ගබඩා පහසුකම් වැඩිදියුණු කිරිම</t>
  </si>
  <si>
    <t>ඌව පළාත් ගොඩනැගිලි දෙපාර්තමේන්තුව</t>
  </si>
  <si>
    <t>හඳපානාගල ප්‍රාදේශිය රෝහලේ 01 වන වාට්ටුව ටයිල් කිරිම</t>
  </si>
  <si>
    <t>වැල්ලවාය මූලික රෝහලේ රුධිර කාන්දු පෙරණ ඒකක ගොඩනැගිල්ලෙහි වහලය අලුත්වැඩියා කිරිම</t>
  </si>
  <si>
    <t>වැල්ලවාය මූලික රෝහලේ ලේ බැංකු ගොඩනැගිල්ලේ වහලය අලුත්වැඩියා කිරිම</t>
  </si>
  <si>
    <t>වැල්ලවාය මූලික රෝහලේ ශල්‍යාගාරයේ වහල අලුත්වැඩියා කිරිම</t>
  </si>
  <si>
    <t>වැල්ලවාය මූලික රෝහලේ අපජල පද්ධතිය අලුත්වැඩියා කිරිම</t>
  </si>
  <si>
    <t>වැල්ලවාය සෞඛ්‍ය වෛද්‍ය නිලධාරි කාර්යාලය යටතේ වන කුඩාඔය සෞඛ්‍ය මධ්‍යස්ථානය අලුත්වැඩියාව</t>
  </si>
  <si>
    <t>වැල්ලවාය සෞඛ්‍ය වෛද්‍ය නිලධාරි කාර්යාලයේ වැට  අලුත්වැඩියාව</t>
  </si>
  <si>
    <t>හඳපානාගල ප්‍රාදේශිය රෝහලේ වහලය අලුත්වැඩියා කිරිම</t>
  </si>
  <si>
    <t>හම්බේගමුව ප්‍රාදේශිය රෝහලේ වැදෑහැම දැමීම සඳහා වල සකස් කිරිම</t>
  </si>
  <si>
    <t>ඌව පළාත් ගොඩනැගිලි දෙපා.</t>
  </si>
  <si>
    <t>සෙවනගල ප්‍රාදේශිය රෝහලේ රෝහල් භූමිය වටා ආරක්ෂිත වැට ඉදිකිරිම</t>
  </si>
  <si>
    <t>සෙවනගල සෞඛ්‍ය වෛද්‍ය නිලධාරි කාර්යාලය යටතේ වන නුගේගලයාය පවුල් සෞඛ්‍ය සේවා නිලධාරිනි කාර්යාලය සායන මධ්‍යස්ථානයක් ලෙස පුළුල් කිරිම</t>
  </si>
  <si>
    <t>සෙවනගල ප්‍රාදේශිය රෝහලේ බාහිර රෝගි අංශයට අදාළ කොරිඩෝවක් සකස් කිරිම</t>
  </si>
  <si>
    <t>සෙවනගල සෞඛ්‍ය වෛද්‍ය නිලධාරි කාර්යාලයේ මහගම සායන මධ්‍යස්ථානයේ වැසිකිළි අලුත්වැඩියා කිරිම</t>
  </si>
  <si>
    <t>මැදගම දිස්ත්‍රික් ආයුර්වේද රෝහලේ උපස්ථායක නිල නිවස ප්‍රතිසංස්කරණය කිරිම</t>
  </si>
  <si>
    <t>ඌව පළාත් ආයුර්වේද දෙපා.</t>
  </si>
  <si>
    <t>මැදගම දිස්ත්‍රික් ආයුර්වේද රෝහලේ නව බාහිර රෝගී අංශය පුළුල් කිරිම</t>
  </si>
  <si>
    <t>කිරිඉබ්බන් වැව ග්‍රාමීය ආයුර්වේද රෝහලේ දර මඩුවක් ඉදිකිරිම</t>
  </si>
  <si>
    <t>කිරිඉබ්බන් වැව ග්‍රාමීය ආයුර්වේද රෝහලේ ඖෂධ නිෂ්පාදනාගාරය ඉදිකිරිම</t>
  </si>
  <si>
    <t>කිරිඉබ්බන් වැව ග්‍රාමීය ආයුර්වේද රෝහලේ බාහිර රෝගි අංශය අලුත්වැඩියා කිරිම</t>
  </si>
  <si>
    <t>කිරිඉබ්බන් වැව ග්‍රාමීය ආයුර්වේද රෝහලේ සනීපාරක්ෂක සේවකයින්ගේ වැසිකිළිය අලුත්වැඩියා කිරිම</t>
  </si>
  <si>
    <t>වැලියාය ග්‍රමීය ආයුර්වේද රෝහල ප්‍රතිසංස්කරණය කිරිම</t>
  </si>
  <si>
    <t>නක්කල ආයුර්වේද මධ්‍යම බෙහෙත්ශාලාවේ තීන්ත ආලේප කිරිම</t>
  </si>
  <si>
    <t>ප්‍රාදේශිය ලේකම් කාර්යාලය, බිබිල</t>
  </si>
  <si>
    <t>පිටකුඹුර ආයුර්වේද මධ්‍යම බෙහෙත්ශාලාවේ ගොඩනැගිල්ල ප්‍රතිසංස්කරණය  කිරිම</t>
  </si>
  <si>
    <t>පිටකුඹුර ආයුර්වේද මධ්‍යම බෙහෙත්ශාලාවේ වෛද්‍ය නිල නිවස ප්‍රතිසංස්කරණය  කිරිම</t>
  </si>
  <si>
    <t>හම්බේගමුව ආයුර්වේද මධ්‍යම බෙහෙත් ශාලාවේ ඉඩම වටේ කොන්ක්‍රිට් කණු සහිත කම්බි වැට සකස් කිරිම</t>
  </si>
  <si>
    <t>මඩුල්ල ආයුර්වේද මධ්‍යම බෙහෙත්ශාලාවේ වෛද්‍ය නිල නිවස ඉදිකිරිම</t>
  </si>
  <si>
    <t>මඩුල්ල ආයුර්වේද මධ්‍යම බෙහෙත්ශාලාව අලුත්වැඩියා කිරිම</t>
  </si>
  <si>
    <t>ආබාධ සහිත පුද්ගලයින් සඳහා නිවාස හා සනීපාරක්ෂක පහසුකම් සැපයිම සඳහා නිවාසාධාර ලබාදිම</t>
  </si>
  <si>
    <t>ඌව පළාත් සමාජ සේවා දෙපා.</t>
  </si>
  <si>
    <t>වැඩිහිටි පුද්ගලයින් සඳහා නිවාස අලුත්වැඩියාව, සනීපාරක්ෂක පහසුකම් සැපයිම සහ ප්‍රවේශ පහසුකම් සැපයිම</t>
  </si>
  <si>
    <t>කාන්තා මූලික පවුල් සඳහා ස්වයංරැකියා සඳහා අවශ්‍ය උපකරණ සහ දැනුම ලබාදිම</t>
  </si>
  <si>
    <t>පොදු</t>
  </si>
  <si>
    <t>නිවාස සහිත ආබාධිත පුද්ගල පවුල් සහ තනි මාපිය පවුල්වල නිවාස අලුත්වැඩියාව, සනීපාරක්ෂක පහසුකම් සැපයිම සහ ප්‍රවේශ පහසුකම් සැපයිම</t>
  </si>
  <si>
    <t>පොදු - තණමල්විල</t>
  </si>
  <si>
    <t>පොදු - සෙවනගල</t>
  </si>
  <si>
    <t>මොනරාගල දිස්ත්‍රික්කයේ පොදු</t>
  </si>
  <si>
    <t>21</t>
  </si>
  <si>
    <t>22</t>
  </si>
  <si>
    <t>23</t>
  </si>
  <si>
    <t>24</t>
  </si>
  <si>
    <t>25</t>
  </si>
  <si>
    <t>26</t>
  </si>
  <si>
    <t>27</t>
  </si>
  <si>
    <t>28</t>
  </si>
  <si>
    <t>29</t>
  </si>
  <si>
    <t>30</t>
  </si>
  <si>
    <t>31</t>
  </si>
  <si>
    <t>32</t>
  </si>
  <si>
    <t>33</t>
  </si>
  <si>
    <t>34</t>
  </si>
  <si>
    <t>35</t>
  </si>
  <si>
    <t>ව්‍යවසායකත්ව අත්වැල (ආයුර්වේද ඖෂධ ශාලා, ආයුර්වේද සුවතා මධ්‍යස්ථාන පවත්වාගෙන යාම පිලිබඳ දැනුම ලබාදිම හා මාර්ගෝපදේශ සැපයිම (Clean Srilanka සංකල්පයට අනුව) ව්‍යවසායකයන් සඳහා දැනුවත් කිරිමේ වැඩසටහන් පැවැත්විම</t>
  </si>
  <si>
    <t>සංචාරක අංශය සඳහා දැනුවත් කිරිමේ වැඩසටහන් පැවැත්විම. “පොහොසත් රටේ හෙළ වෙදකමයි“ (හෝටල් හිමියන්, සංචාරක මාර්ගෝලදේශකයින්, දේශිය ආහාර අලෙවි මධ්‍යස්ථාන හිමිකරුවන් සහ සේවකයින් සඳහා විදේශිකයන් සඳහා දැනුවත් කිරිමේ වැඩසටහන් සඳහා පහසුකම් සැලසිම) Clean Srilanka සංකල්පයට අනුව</t>
  </si>
  <si>
    <t>ආයුර්වේද සම්භාහනය පුහුණු පාඨමාලාව පැවැත්විම (දෙවන කණ්ඩායම)</t>
  </si>
  <si>
    <t>කෘෂිකර්ම දෙපාර්තමේන්තුව සමඟ සහයෝගයෙන් බඩල්කුඹුර ඔසු උයනේ සේවකයින් සඳහා “බිඟු ගම්මාන“ ගුණාත්මක මීපැණි ඖෂධ නිෂ්පාදනය සඳහා යොදාගෙන පුහුණු වැඩසටහනක් පැවැත්විම</t>
  </si>
  <si>
    <t>ප්‍රාදේශිය ඖෂධ සැපයුම්කරුවන් සඳහා වියළි අමුද්‍රව්‍ය සකස් කිරිම, ඇසුරුම් කිරිම සහ ලබඩා කිරිම පිලිබඳව දැනුවත් කිරිමේ වැඩසටහන් පැවැත්විම</t>
  </si>
  <si>
    <t>මැදගම දිස්ත්‍රික් ආයුර්වේද රෝහලේ සහ මිරිස්වත්ත ඖෂධ නිෂ්පාදන මධ්‍යස්ථානයේ ඖෂධීය ශාක වගාව වැඩිදියුණු කිරිම</t>
  </si>
  <si>
    <t>වාර්ෂික සඟරාව සහ අනෙකුත් සෞඛ්‍ය ප්‍රවර්ධන ප්‍රකාශන මුද්‍රණය කිරිම</t>
  </si>
  <si>
    <t>ප්‍රාදේශිය හා දිස්ත්‍රික් මට්ටමින් කාන්තා සංගම් අතර ආහාර සැකසිමේ තරඟයක් පැවැත්විම. “දුම්මැස්සේ සැඟවුණු රහස්“ (ග්‍රාමීය ජනතාවට අඩු වියදම් පෝෂ්‍යදායි ආහාර හඳුන්වාදිම, කුළුබඩජු භාවිතය පිළීබඳ දැනුවත්භාවය වැඩිකිරිම සහ විකල්ප ආහාර හඳුන්වාදීමෙන් කාන්තා ව්‍යවසායකයින් සවිබල ගැන්විම. (CLEAN SRILANKA සංකල්පය යටතේ)</t>
  </si>
  <si>
    <t>නවක පාරම්පරික වෛද්‍යවරුන්ගේ දැනුම වැඩිදියුණු කිරිමේ (ඖෂධ නිෂ්පාදනය, නව නීතිමය තත්ත්වය) පැවැත්විම</t>
  </si>
  <si>
    <t>පාරම්පරික වෛද්‍ය මධ්‍යස්ථාන අධික්ෂණය කිරිම සහ පාරම්පරික වෛද්‍යරුන්ගේ ලියාපදිංචිය යාවත්කාලින කිරිම</t>
  </si>
  <si>
    <t>ප්‍රාදේශිය හා දිස්ත්‍රික් මට්ටමින් පාරම්පරික වෛද්‍ය සංරක්ෂණ සභා සංවර්ධනය කිරිම</t>
  </si>
  <si>
    <t>සෞඛ්‍ය අමාත්‍යාංශයේ සහ CMO හි වෛද්‍යවරුන් සහ දෙපාර්තමේන්තු කාර්ය මණ්ඩලය සඳහා ප්‍රගති සමාලෝචන පැවැත්විම</t>
  </si>
  <si>
    <t>දෙපාර්තමේන්තු කාර්ය මණ්ඩලය සඳහා ධාරිතා වර්ධනය සහ ආකල්ප සංවර්ධනය කිරිමේ වැඩසටහන් පැවැත්විම</t>
  </si>
  <si>
    <t>ආයුර්වේද ප්‍රවර්ධන වැඩසටහන් පැවැත්විම</t>
  </si>
  <si>
    <t>දෙපාර්තමේන්තු කාර්ය මණ්ඩලය සඳහහා උසස් අධ්‍යයන කටයුතු පැවැත්විම. උදා. වෛද්‍යවරුන්, චිකිත්සකයින් සඳහා පුහුණු වැඩසටහන</t>
  </si>
  <si>
    <t>“පරපුරක උරුමය“ ආදීවාසි (දඹාන, රතුගල සහ නිල්ගල) ජනතාවගේ රෝග හඳුනාගැනිම සහ වැළැක්විම සඳහා දැනුවත් කිරිමේ සහ පරික්ෂණ සායන පැවැත්වම</t>
  </si>
  <si>
    <t>සංස්කෘතික කටයුතු අමාත්‍යාංශය සමඟ වාර්ෂික හිසතෙල් ගෑමේ සහයෝගීතාවය පළාත් සංස්කෘතික උත්සවය පැවැත්වම</t>
  </si>
  <si>
    <t>ලෝක දින වැඩසටහන් (පරිසර දිනය, යෝග දින, කාන්තා දිනය ආදිය) සැමරිම</t>
  </si>
  <si>
    <t>ගබඩා කළමනාකරණය සහ සංඛ්‍යානමය තොරතුරු සඳහා මෘදුකාංග සංවර්ධනය කිරිම (පියවර 2)</t>
  </si>
  <si>
    <t>වෛද්‍ය උපකරණ සහ කාර්යාල උපකරණ සහ අනෙකුත් අත්‍යවශ්‍ය උපකරණ මිල දී ගැනිම</t>
  </si>
  <si>
    <t>ආයුර්වේද දෙපාර්තමේන්තුව මඟින් පාලනය වන ආයතනවල නව ජල හා විදුලි සම්බන්ධතා ලබාගැනිම සහ ඉඩම් සමීක්ෂණ පැවැත්විම</t>
  </si>
  <si>
    <t>හදිසි අලුත්වැඩියාවන්</t>
  </si>
  <si>
    <t>වාරිමාර්ග ඉංජිනේරු කාර්යාලය, බුත්තල</t>
  </si>
  <si>
    <t>ඉස්කෝලේ අමුණ ප්‍රතිසංස්කරණය කිරිම</t>
  </si>
  <si>
    <t>තිත්තවැල්ආර වැවේ ඇල ප්‍රතිසංස්කරණය කිරිම</t>
  </si>
  <si>
    <t>හරිගල්පොත්ත වැව ප්‍රතිසංස්කරණය කිරිම</t>
  </si>
  <si>
    <t>අරාගල වැව සහ ඇල ප්‍රතිසංස්කරණය කිරිම</t>
  </si>
  <si>
    <t>නිකවැව ප්‍රතිසංස්කරණය කිරිම</t>
  </si>
  <si>
    <t>වෙහෙරයාය වැවේ පිටවාන හා ඇල සංවර්ධනය කිරිම</t>
  </si>
  <si>
    <t>බඹරගලආර වැව සංවර්ධනය කිරිම</t>
  </si>
  <si>
    <t>ගලපිට ආර වැව සංවර්ධනය කිරිම</t>
  </si>
  <si>
    <t>අරාකඩ වැවේ ඇල ඉදිකිරිම</t>
  </si>
  <si>
    <t>ඌව පළාත් පරිවාස හා ළමාරක්ෂක සේවා දෙපා.</t>
  </si>
  <si>
    <t>පරිවාස හා ළමාරක්ෂක සේවා දෙපා.- මොනරාගල</t>
  </si>
  <si>
    <t>36</t>
  </si>
  <si>
    <t>37</t>
  </si>
  <si>
    <t>38</t>
  </si>
  <si>
    <t>39</t>
  </si>
  <si>
    <t>40</t>
  </si>
  <si>
    <t>41</t>
  </si>
  <si>
    <t>42</t>
  </si>
  <si>
    <t>43</t>
  </si>
  <si>
    <t>44</t>
  </si>
  <si>
    <t>අවදානම් ප්‍රදේශවල සිටින පාසල් දරුවන් හා ළමා සමාජ, ළමා ආරක්ෂාව, රැකවරනය සහ ගර්භණි තත්ත්වයන්ගෙන් ආරක්සා කිරිම සඳහා පාසල් මට්ටමින් දැනුවත් කිරිමේ වැඩසටහන් පැවැත්විම</t>
  </si>
  <si>
    <t>හඳුනාගත් අවදානමට ලක්විය හැකි පවුල් සඳහා නිවාස පහසුකම් සැපයිම - සෙනෙහසේ නවාතැන වැඩසටහන</t>
  </si>
  <si>
    <t>ආරක්ෂිත පවුල්වල දරුවන් ආයතනගතවිම වැළැක්විමට ස්වයංරැකියා ආධාර ලබාදිම</t>
  </si>
  <si>
    <t>Clean Srilanka වැඩසටහන යටතේ කැප්පෙටිපොල සහතිකලත් පාසලේ සහ විශාස්ක වෘත්තීය පුහුණු මධ්‍යස්ථානයේ ළමුන් සඳහා සාක්ෂරතා වැඩිදියුණු කිරිමේ වැඩසටහන් පැවැත්විම</t>
  </si>
  <si>
    <t>ළමා සංවර්ධන මධ්‍යස්ථාන සඳහා ගෘහ උපකරණ මිල දිගැනිම</t>
  </si>
  <si>
    <t xml:space="preserve">ළමා සංවර්ධන මධ්‍යස්ථානවල නේවාසික දරුවන්ගේ මානසික සෞඛ්‍යය සහ යහ පැවැත්ම වැඩිදියුණු කිරිම සඳහා අධ්‍යාපන චාරිකා යාම </t>
  </si>
  <si>
    <t>සහතික කළ පාසලක සහ විශාකා බාලික නිවාසවල වෘත්තීය පාඨමාලා සඳහා ඉගෙනුම් ද්‍රව්‍ය මිල දි ගැනිම, සෞඛ්‍යය හා යහපැවැත්ම</t>
  </si>
  <si>
    <t>කාර්යාලීය ගෘහ භාණ්ඩ සහ උපකරණ මිල දි ගැනිම (පරිවාස දෙපාර්තමේන්තුව සහ පරිවාස කාර්යාලය)</t>
  </si>
  <si>
    <t>ඌව පළාත් ක්‍රීඩා දෙපා.</t>
  </si>
  <si>
    <t>ක්ෂේත්‍රගත පුහුණු පාඨමාලා පැවැත්විම</t>
  </si>
  <si>
    <t>ජාතික මහ ක්‍රීඩා උළෙලට ක්‍රිඩකයින් සහභාගි කරවිම</t>
  </si>
  <si>
    <t>ජාතික මහා ක්‍රීඩා උළෙලේ පදක්කම්ලාභි ක්‍රීඩක ක්‍රීඩිකාවන් ඇගැයිම</t>
  </si>
  <si>
    <t>45</t>
  </si>
  <si>
    <t>46</t>
  </si>
  <si>
    <t>47</t>
  </si>
  <si>
    <t xml:space="preserve">හෝටල් ක්ෂේත්‍රයේ පුහුණු පාඨමාලා/ සන්නිවේදන පුහුනු පාඨමාලාගපරිගණක, ඡායාරූපකරණ, රූපලාවන්‍ය, කේක් සහ ප්‍රේස්ටි, ජංගම දුරකථන අලුත්වැඩියාව, කොහු ආශ්‍රිත නිෂ්පාදන පුහුණු පාඨමාලා සඳහා 50% පාඨමාලා දීමනා ලබාදිම </t>
  </si>
  <si>
    <t>සිංහල හා ද්‍රවිඩ මාධ්‍ය පාසල්වල අ.පො.ස. (සා.පෙළ) සමත් දරුවන් සඳහා වෘත්තීය මාර්ගෝපදේශන වැඩසටහන් ක්‍රියාත්මක කිරිම</t>
  </si>
  <si>
    <t>ප්‍රාදේශිය ලේකම් කොට්ඨාස මට්ටමින් ව්‍යවසායකත්වය, ව්‍යාපාර සැලැස්ම, මුල්‍ය සහ තාක්ෂණික සාක්ෂරතාවය පිළිබඳ වැඩසටහන් පැවැත්විම</t>
  </si>
  <si>
    <t>තරුණ, තරුණියන් සඳහා වෘත්තීය පාඨමාලා, රැකියා අවස්ථා, සමාජීය වශයෙන් මුහුණදීමට සිදුවෙන ගැටළු සම්බන්ධයෙන් දැනුවත් කිරිමේ වැඩසටහන් පැවැත්විම</t>
  </si>
  <si>
    <t>සෞන්දර්යාත්මක වැඩසටහන් පැවැත්විම</t>
  </si>
  <si>
    <t>රසවින්දනාත්මක හා සාම්ප්‍රදායික කලාව සම්බන්ධ වැඩසටහන් පැවැත්ම</t>
  </si>
  <si>
    <t>ඉංග්‍රිසි, දෙමළ, සිංහල, කොරියන්, ජපන්, ප්‍රංශ ජර්මන් යනාදි භාෂා පාඨමාලා පැවැත්විම</t>
  </si>
  <si>
    <t>නියාමන වැඩසටහන් ක්‍රියාත්මක කිරිම</t>
  </si>
  <si>
    <t>හුලංදාව දකුණ ගැමුණුපුර මහමෙවුනාව මාවත පලුදුමකා තාර දැමිම</t>
  </si>
  <si>
    <t>මොනරාගල ඩිපෝව රබර්වත්ත මාර්ගය කාපට් කිරිම</t>
  </si>
  <si>
    <t>පොතුවිල් මාර්ගයේ 5 වන පටුමඟ කාපට් කිරිම</t>
  </si>
  <si>
    <t>රාජකීය පාසල් මාවත කාපට් කිරිම</t>
  </si>
  <si>
    <t>බුළුපිටිය ඌරාවුල මාර්ගය (බෝක්කුව)</t>
  </si>
  <si>
    <t>බුළුපිටිය ඌරාවුල මාර්ගය ගල් අතුරා තාර දැමීම</t>
  </si>
  <si>
    <t>ඔබ්බේගොඩ දඹගල්ල මාරිආරාව මාර්ගය පලුදු මකා තාර දෑමිම</t>
  </si>
  <si>
    <t>මැදගම දඹගල්ල මාර්ගය පැති බැම්ම</t>
  </si>
  <si>
    <t>ඔබ්බේගොඩ දඹගල්ල මාරිආරාව මාර්ගය පැතිබැම්ම</t>
  </si>
  <si>
    <t>මැදගම, කොටබෝව, අයිවෙල මාර්ගය - බෝක්කුව</t>
  </si>
  <si>
    <t>කරමැටිය, තඹාන මාර්ගයේ බෝක්කුව</t>
  </si>
  <si>
    <t xml:space="preserve">දහගෝනිය, කොහුකුඹුර මාර්ගය පැති බැම්ම </t>
  </si>
  <si>
    <t>රත්තනදෙණිය, පොල්ගහපිටිය, බකිනිගහවෙල මාර්ගය -පාලම</t>
  </si>
  <si>
    <t>ඔබ්බේගොඩ, බකිනිගහවෙල - කාණුව</t>
  </si>
  <si>
    <t>15 කණුව, කීනගොඩ,මියනවත්ත මාර්ගය කාපට් කිරිම</t>
  </si>
  <si>
    <t>උස්ගමුයාය,කීනගොඩ මාර්ගය කාපට් කිරිම</t>
  </si>
  <si>
    <t>කැන්දවින්න, අලාන මාර්ගය ගල් අතුරා තාර දැමීම</t>
  </si>
  <si>
    <t>බුදුරුවගල හන්දියේ සිට බුදුරුවගල පන්සල දක්වා මාර්ගය කාපට් කිරිම</t>
  </si>
  <si>
    <t>සිරිපුරගම මීගස්අරාව මාර්ගය කාපට් කිරිම</t>
  </si>
  <si>
    <t>කිරිඉබ්බන්ආර, මහවැලි කාර්යාලය අසල සිට තුන්හිරියාව, ශක්ති මාවත හබරළුව ස්පිල් හන්දිය මාර්ගය කොන්ක්‍රිට් කිරිම</t>
  </si>
  <si>
    <t>දිස්ත්‍රික්කය තුල අඩු ආදායම්ලාභින් සඳහා නිවාස ආධාර ලබාදිම (එක් ප්‍රාදේශිය ලේකම් කාර්යාලයක් සඳහා ප්‍රතිලාභින් 15 දෙනෙකුට ආධාර ලබාදිම)</t>
  </si>
  <si>
    <t>දිස්ත්‍රික්කය තුල අඩු ආදායම්ලාභින් සඳහා නිවාස ණය ලබාදිම (එක් ප්‍රාදේශිය ලේකම් කාර්යාලයක් සඳහා ප්‍රතිලාභින් 07 දෙනෙකුට නිවාස ණය ලබාදිම)</t>
  </si>
  <si>
    <t>නිවාස ණය වැඩසටහන පිළිබඳ නිලධාරින් දැනුවත් කිරිම</t>
  </si>
  <si>
    <t>නිකවැව ප්‍රතිආශ්‍රිතකරණ ජල පෙරණ පද්ධතියක් ඉදිකිරිම</t>
  </si>
  <si>
    <t>ජයශක්ති ප්‍රජා මුල සංවිධානයේ මඩ පිල්ටරය ප්‍රතිසංස්කරණය කිරිම</t>
  </si>
  <si>
    <t>එකමුතුගම ප්‍රගති ප්‍රජා මුල සංවිධානයට ජල පිල්ටරයක් සවිකිරිම</t>
  </si>
  <si>
    <t>රන්දෙනිය යෝධආර රන්දිය ප්‍රජා මූල සංවිධානයේ නල පද්ධතිය නවීකරණය කිරිම</t>
  </si>
  <si>
    <t>තෙළුල්ල නයිගල්ආර ගම්මානයේ නල ළිඳක් ඉදිකිරිම හා මෝටරයක් ලබාදිම</t>
  </si>
  <si>
    <t>මනම්පිටිය ප්‍රජා මූල සංවිධානයේ ජල ව්‍යාපෘතිය ඉදිකිරිම</t>
  </si>
  <si>
    <t>සී/ස තුෂරබිවු ජල ව්‍යාපෘතිය සඳහා ලි.100000 ක ජල ගබඩා ටැංකියක් ස්ථාපිත කිරිම</t>
  </si>
  <si>
    <t>දෙහිගහපිටිය ගම්මානයට  ජලය ලබාදිමට ළිඳක් ඉදිකරිම</t>
  </si>
  <si>
    <t>පොල්ගහවෙල පොදු ළිඳ ප්‍රතිසංස්කරණනය කිරිම</t>
  </si>
  <si>
    <t>අඹගහපිටිය හිඹුටුවින්න ජල යෝජනා ක්‍රමය සංවර්ධනය කිරිම</t>
  </si>
  <si>
    <t xml:space="preserve">කොටාගොඩ පොදු ළිඳ ඉදිකිරිම </t>
  </si>
  <si>
    <t>හොරබොක්ක සෞඛ්‍ය මධ්‍යස්ථානයේ වැට ඉදිකිරිම</t>
  </si>
  <si>
    <t>එගොඩවත්ත ග්‍රාමීය සංවිධානයේ ජල ව්‍යාපෘතිය සංවර්ධනය කිරිම</t>
  </si>
  <si>
    <t>ගුරුත්ව ජල නල යෝජනා ක්‍රමය දීර්ඝ කිරිම හා ප්‍රතිසංස්කරණය කිරිම</t>
  </si>
  <si>
    <t>පළාත් පාලන දෙපා.</t>
  </si>
  <si>
    <t>දේවතුර මාදලවත්ත මාර්ගය කොන්ක්‍රිට් කිරිම</t>
  </si>
  <si>
    <t>ප්‍රාදේශීය ඉංජිනේරු (මාර්ග) කාර්යාලය, මොනරාගල</t>
  </si>
  <si>
    <t>ගමේවෙල ගැඩවිල කරඳගම මාර්ගය කාපට් කිරිම (ඇස්පෝල්ට් කොන්ක්‍රිට් කිරිම)</t>
  </si>
  <si>
    <t>ප්‍රදේශිය ඉංජිනේරු (මාර්ග) කාර්යාලය, මොනරාගල</t>
  </si>
  <si>
    <t>ඇත්තලාමුල්ල ගල්කන්ද මාර්ගය කොන්ක්‍රිට් කිරිම</t>
  </si>
  <si>
    <t>ලැක්සිස්වත්ත අතුරු මාර්ගයේ මිටර් 200ක් කොන්ක්‍රිට් කිරිම</t>
  </si>
  <si>
    <t>නක්කලවත්ත, මිල්ලකැලේ මාර්ගය මීටර් 700ක් කොන්ක්‍රිට් කිරිම. බෝක්කුව සමඟින්</t>
  </si>
  <si>
    <t>ලයිට්හවුස් පෙර පාසලේ වැට සම්පුර්ණයෙන් සකස් කිරිම සහ ප්‍රධාන ගේට්ටුව සැකසිම</t>
  </si>
  <si>
    <t>නක්කලවත්ත පෙර පාසලට විදුලි සම්බන්ධතාවය ලබාගැනිම</t>
  </si>
  <si>
    <t>බිබිලවත්ත 200 කොටසේ භාරතිපුරම් මාර්ගය කොන්ක්‍රිට් කිරිම</t>
  </si>
  <si>
    <t>බිබිලවත්ත 200 කොටසේ විනයාගපුරම් මාර්ගය කොන්ක්‍රිට් කිරිම</t>
  </si>
  <si>
    <t>සමූපකාර සමිති සාමාජිකයින් සඳහා තාක්ෂණික පුහුණු වැඩසටහන් සංවිධානය කිරිම (ඌව පළාතේ සියලුම ප්‍රාදේශිය ලේකම් කාර්යාල සඳහා)</t>
  </si>
  <si>
    <t>කර්මාන්ත සඳහා තාක්ෂණික උපකරන 50%ක දායකත්වය යටතේ සැපයිම සහ චක්‍රීය ණය වැඩසටහන ක්‍රියාත්මක කිරිම (ඌව පළාතේ සියලුම ප්‍රාදේශිය ලේකම් කාර්යාල සඳහා)</t>
  </si>
  <si>
    <t>පවතින අඩුපාඩු නිවැරදි කරමින් මොනරාගල පුහුණු මධ්‍යස්ථානය අංග සම්පුර්ණ පුහුනු මධ්‍යස්ථානයක් බවට පත්කිරිම සඳහා ගොඩනැගිලි ඉදිකිරිම (සමුපකාර සං.දෙපා.)</t>
  </si>
  <si>
    <t>පාසල් සමුපකාර සමිති සහ කුඩා සමුපකාර සමිතිවල ළමා සමාජ සඳහා සමුපකාර සාරධර්ම පිළිබඳව දැනුම හා ආකල්ප පිළිබඳව අවබෝධය ලබාදිම (ඌව පළාතේ සියලුම ප්‍රාදේශිය ලේකම් කාර්යාල සඳහා)</t>
  </si>
  <si>
    <t>මොනරාගල සහකාර කොමසාරිස් කාර්යාල ඉඩමේ මායිම් මැන යකඩ කටුකම්බි වැටක් ඉදිකිරිම</t>
  </si>
  <si>
    <t>සමුපකාර සමිති සහ නිලධාරි ඇගැයිම (ඌව පළාතේ සියලුම ප්‍රාදේශිය ලේකම් කාර්යාල සඳහා)</t>
  </si>
  <si>
    <t>සමුපකාර දෙපා. සඳහා රැස්විම්ශාලා පුටු, කොට්ට, කොට්ටඋර, ඇඳ ඇතිරිලි, ශබ්ද පද්ධති, පුටු ආදිය මිල දි ගැනිම</t>
  </si>
  <si>
    <t>සමුපකාර සං. දෙපා. නිලධාරින්ගේ නිපුණතා වර්ධනය කිරිම සඳහා පුහුණු වැඩසටහන් පැවැත්වම (ඌව පළාතේ සියලුම ප්‍රා.ලේ.කා. සඳහා)</t>
  </si>
  <si>
    <t>සමුපකාර සමිති සාමාජිකයින් සහ සමුපකාර සමිති නිලධාරින් සඳහා අධ්‍යාපන සංවර්ධන පුහුණු වැඩසටහන් සහ මාර්ගෝපදේශක පුහුණු වැඩසටහන් සංවිධානය කිරිම</t>
  </si>
  <si>
    <t>මොනරාගල දිස්ත්‍රික් ක්‍රීඩා නිලධාරි කාර්යාලයේ අත්‍යවශය නවීකරණ කටයුතු සඳහා</t>
  </si>
  <si>
    <t>නියෝජ්‍ය ප්‍රධාන ලේකම් (ඉංජිනේරු සේවා)</t>
  </si>
  <si>
    <t>මොනරාගල ප්‍රාදේශිය සභා ක්‍රීඩාංගනය සංවර්ධනය කිරිම</t>
  </si>
  <si>
    <t>තණමල්විල වොලිබෝල් ක්‍රීඩාපිටිය සංවර්ධනය කිරිම</t>
  </si>
  <si>
    <t>දිස්ත්‍රික් හා පළාත් ක්‍රීඩා ඉසව්වලින් ජයග්‍රහණය කළ ස්වේච්ඡා ක්‍රීඩා නිලධාරීන් සහ ක්‍රීඩක ක්‍රීඩිකාවන් සඳහා පුහුණු වැඩසටහන්, පුහුණු කඳවුරු පැවැත්වීම</t>
  </si>
  <si>
    <t xml:space="preserve"> 50 වන ජාතික ක්‍රීඩා උළෙලේ තරඟ පැවැත්වීම සඳහා පහසුකම් සැලසීම.</t>
  </si>
  <si>
    <t xml:space="preserve">50 වන ජාතික ක්‍රීඩා තරඟාවලියට සහභාගී වන ක්‍රීඩක ක්‍රීඩිකාවන්ට ක්‍රීඩා ඇඳුම් ලබා දීම   </t>
  </si>
  <si>
    <t>ජාතික මහා ක්‍රීඩා උළේලෙ ජයග්‍රාහකයින් ඇගයීම සඳහා සැමරුම් වැඩසටහනක් පැවැත්වීම.</t>
  </si>
  <si>
    <t>ක්‍රියාකාරී ක්‍රීඩා සමාජ සඳහා ක්‍රීඩා භාණ්ඩ ලබා දීම</t>
  </si>
  <si>
    <t>ප්‍රාදේශීය ලේකම් කාර්යාල මට්ටමින් පුහුණු මධ්‍යස්ථාන සඳහා ක්‍රීඩා නිලධාරීන් සහ පුහුණුකරුවන් සඳහා ක්‍රීඩා භාණ්ඩ ලබා දීම.</t>
  </si>
  <si>
    <t xml:space="preserve">"ඔබේ ශරීරය සුරකින්න" යන තේමාව යටතේ ප්‍රාදේශීය ලේකම් කාර්යාල මට්ටමින් සෞඛ්‍ය වැඩසටහන් පැවැත්වීම. </t>
  </si>
  <si>
    <t>ජාතික හා ජාත්‍යන්තර ජයග්‍රහණ සඳහා මූල්‍ය ආධාර සැපයීම.</t>
  </si>
  <si>
    <t>දෙපාර්තමේන්තු නිලධාරීන් සහ බාහිර නිලධාරීන් සඳහා පුහුණු පාඨමාලා පැවැත්වීම/පාඨමාලා ගාස්තු සැපයීම.</t>
  </si>
  <si>
    <t>රාජ්‍ය සේවා ක්‍රීඩා තරඟාවලිය පැවැත්වීම</t>
  </si>
  <si>
    <t>පේෂකර්ම උපදේශිකාවන් සඳහා මෝස්තර නිර්මාණය සම්බන්ධ පුහුණු වැඩසටහන් ක්‍රියාත්මක කිරීම</t>
  </si>
  <si>
    <t>උපදේශකයින් සඳහා වෘත්තීය පුහුණුව ලබාදිම (වඩු, ලුහු ඉංජිනේරු හා අනෙකුත්)</t>
  </si>
  <si>
    <t>කර්මාන්ත සංවර්ධන දෙපා.</t>
  </si>
  <si>
    <t>අපනයන වෙළඳපල කේන්ද්‍ර කර ගනිමින් බතික් පුහුණු වැඩසටහන් ක්‍රියාත්මක කිරිම හා බතික් ගම්මානයක් ඇති කිරිම (මැදගම හා මහියංගනය)</t>
  </si>
  <si>
    <t>සෑම ප්‍රාදේශිය ලේකම් කොට්ඨාස මට්ටමින් එක් කාන්තා ව්‍යවසායිකාවක් නිර්මාණය කිරිම</t>
  </si>
  <si>
    <t>"ශිල්ප අභිමානි" තරඟය පැවැත්වීම, (අත්යන්ත්‍ර හා අත්කම් නිෂ්පාදකයින් ඇගයීම සඳහා උත්සවයක් සංවිධානය කිරීම, කර්මාන්ත ප්‍රදර්ශනයක් පැවැත්වීම)</t>
  </si>
  <si>
    <t>.facebook /instragram/whatsapp/AI/tiktok හරහා ව්‍යවසායකයින් සඳහා ඩිජිටල් අලෙවිකරණ වැඩමුළුවක් පැවැත්වීම</t>
  </si>
  <si>
    <t>රැකියා විරහිත තරුණ තරුණියන් ව්‍යවසායකයින් බවට පත් කිරීම සඳහා නිර්මාණකරණය, වීඩියෝ සංස්කරණය, ග්‍රැෆික් නිර්මාණය සහ නිදහස් සේවය පිළිබඳ පුහුණු වැඩසටහන් පැවැත්වීම.</t>
  </si>
  <si>
    <t>අලෙවිසැල්වල බාහිර හා අභ්‍යන්තර අලංකරණය සිදුකිරිම (ඇල්ල, බණ්ඩාරවෙල, මොනරාගල, වැල්ලවාය)</t>
  </si>
  <si>
    <t>කුඩා හා මධ්‍ය පරිමාණ ව්‍යවසායකයින් සඳහා පුහුණු වැඩසටහන් ක්‍රියාත්මක කිරීම (අත්බෑග්, පාවහන් නිෂ්පාදනය, විජලනය, ඇසුරුම් කිරීම, ජංගම දුරකථන අලුත්වැඩියාව, පරිගණක දෘඩාංග ආදිය) (ඇල්ල, බණ්ඩාරවෙල, වැලිමඩ, තණමල්විල)</t>
  </si>
  <si>
    <t>ව්‍යවසායකත්වය, ව්‍යාපාර නීතිය, මූල්‍ය සාක්ෂරතාවය සහ ව්‍යාපාර උපදේශනය පිළිබඳ වැඩමුළු පැවැත්වීම. (ඌව පළාත)</t>
  </si>
  <si>
    <t>ව්‍යවසායකයින් සඳහා ව්‍යවසායකත්ව ප්‍රවර්ධන වැඩසටහන් ක්‍රියාත්මක කිරීම (ඌව පළාත)</t>
  </si>
  <si>
    <t>තරුණ පරපුර සඳහා NVQ වැඩසටහන ක්‍රියාත්මක කිරීම. ඌව පළාත)</t>
  </si>
  <si>
    <t>ඌව පළාත කේන්ද්‍ර කර ගනිමින් කර්මාන්ත සමීක්ෂණයක් සිදුකිරීම</t>
  </si>
  <si>
    <t>යුදගනාව පුරාණ රජමහා විහාරයේ “දුටුගැමුණු සඳතිස් සෑය“ සඳහා තෙකලා විදුලි රැහැන් පද්ධතියක් ස්ථාපනය කිරිම</t>
  </si>
  <si>
    <t>ඌව පළාත් ක්‍රීඩා අමාත්‍යාංශය</t>
  </si>
  <si>
    <t>ප්‍රාදේශිය පුරා විද්‍යා කාර්යාලය, මොනරාගල</t>
  </si>
  <si>
    <t>ඓතිහාසික කුටුම්බාල රජමහා විහාරයේ ධර්මශාලා ගොඩනැගිල්ල ප්‍රතිසංස්කරනය කිරිම</t>
  </si>
  <si>
    <t>ආදිවාසි ජනතා දින සැමරුම (මහියංගනය/මඩුල්ල)</t>
  </si>
  <si>
    <t>ඌව පළාතේ ලේඛකයින්ගේ පොත් මිලදිගැනිම</t>
  </si>
  <si>
    <t>ළමා කතා නිර්මාණ තරඟය පැවැත්විම</t>
  </si>
  <si>
    <t>සෞන්දර්ය ගුරුවරුන් සඳහා ජාතිකහා වෘත්තීය සම්පත්දායකයින් විසින් සංගීතය, නැටුම්, නාට්‍ය පිළිබඳ වැඩමුළුවක් සංවිධානය කිරිම</t>
  </si>
  <si>
    <t>“ගම්මැද්ද කලාලය“ ගමින් ගමට අභිප්‍රේරණ වැඩසටහනක් පැවැත්විම</t>
  </si>
  <si>
    <t xml:space="preserve"> රජයේ නිලධාරීන් සඳහා  Art Talent කලා කුසලතා වැඩසටහන</t>
  </si>
  <si>
    <t>පළාත් මට්ටමින්, ප්‍රාදේශීය මට්ටමින් සහ ගම් මට්ටමින් සාම්ප්‍රදායික හා සංස්කෘතික සිදුවීම් ප්‍රවර්ධනය කිරීම සඳහා වැඩසටහන් පැවැත්වීම</t>
  </si>
  <si>
    <t xml:space="preserve"> ඌව නවෝදය සංස්කෘතික සතිය (කලා උළෙල සහ කලා, මූර්ති, ඡායාරූප, ප්‍රදර්ශන සහ තරඟ) පැවැත්වීම</t>
  </si>
  <si>
    <t>ජාතික, සංස්කෘතික හා සාහිත්‍ය උත්සව පැවැත්වීම</t>
  </si>
  <si>
    <t xml:space="preserve"> ආදාහන උත්සව සඳහා අනුග්‍රහය දැක්වීම</t>
  </si>
  <si>
    <t>කලායතන සඳහා පහසුකම් සැපයීම</t>
  </si>
  <si>
    <t>දහම් පාසල් සඳහා ද්‍රව්‍යාධාර ලබා දීම</t>
  </si>
  <si>
    <t>"Fun Friday" රජයේ නිලධාරීන් දිරිමත් කිරීම සඳහා අභිප්‍රේරණ වැඩසටහන</t>
  </si>
  <si>
    <t>ප්‍රාදේශීය ලේකම් කාර්යාලවල සංස්කෘතික නිලධාරීන් සඳහා පුහුණු වැඩසටහනක් පැවැත්වීම</t>
  </si>
  <si>
    <t>විෂය දැනුම වැඩි දියුණු කිරීම පිළිබඳ පළාත් සංස්කෘතික අමාත්‍යාංශයේ නිලධාරීන් සඳහා පුහුණු වැඩසටහනක් පැවැත්වීම.</t>
  </si>
  <si>
    <t>බස් නැවතුම්පොළ අළුත්වැඩියා කිරීම (බදුල්ල,මොණරාගල)</t>
  </si>
  <si>
    <t>බස් නැවතුම්පොළවල LED තිර භාවිතයෙන් කාලසටහන් ප්‍රදර්ශනය කිරීම. (බණ්ඩාරවෙල, වැලිමඩ, මහියංගනය,මොණරාගල)</t>
  </si>
  <si>
    <t>තෝරාගත් ස්ථානවලට හඳුනාගැනීමේ කැමරා (Detection camera)සවි කිරීම</t>
  </si>
  <si>
    <t>තෝරාගත් මාර්ගවල ස්වයංක්‍රීය බස් නිරික්ෂණ පද්ධතියක් (Tracking system) සවි කිරීම</t>
  </si>
  <si>
    <t>බස් රථ සහ බස් නැවතුම්පොළවල ස්ටිකර් මුද්‍රණය කර ඇලවීම  කිරීම</t>
  </si>
  <si>
    <t xml:space="preserve"> පොලිසියේ සහ මෝටර් රථ දෙපාර්තමේන්තුවේ සහාය ඇතිව පෞද්ගලික බස් රථ රියදුරන් සහ කොන්දොස්තරවරුන් සඳහා පුහුණු සහ දැනුවත් කිරීමේ වැඩසටහන් පැවැත්වීම (PT සහතිකය)</t>
  </si>
  <si>
    <t>කළමනාකරණ තොරතුරු සහ අධීක්ෂණ පද්ධතියක් ස්ථාපිත කිරීම පිළිබඳව කාර්යාල කාර්ය මණ්ඩලය සඳහා තාක්ෂණික පුහුණුව පැවැත්වීම</t>
  </si>
  <si>
    <t>කළමනාකරණ තොරතුරු පද්ධතිය ක්‍රියාත්මක වන බස් නැවතුම්පොළවල වායු සමීකරණ යන්ත්‍ර ස්ථාපනය කිරීම ඇතුළු කාර්යාල පහසුකම් වැඩිදියුණු කිරීම</t>
  </si>
  <si>
    <t xml:space="preserve">කළමනාකරණ තොරතුරු පද්ධතිය ක්‍රියාත්මක කර ඇති බස් නැවතුම්පොළ සඳහා පරිගණක 6ක් මිලදී ගැනීම (බුත්තල, පස්සර, බඩල්කුඹුර, දියතලාව, තණමල්විල, කතරගම) </t>
  </si>
  <si>
    <t xml:space="preserve">කළමනාකරණ තොරතුරු පද්ධතිය (බණ්ඩාරවෙල, බදුල්ල, වලිමඩ, මහියංගන, වල්ලවාය, මොණරාගල, බිබිල, බුත්තල, පස්සර, බඩල්කුඹුර, දියතලාව, තණමල්විල, කතරගම) ක්‍රියාත්මක බස් නැවතුම් පොළ සඳහා මුද්‍රණ යන්ත්‍ර මිලදී ගැනීම. </t>
  </si>
  <si>
    <t>කළමනාකරණ තොරතුරු පද්ධතිය ක්‍රියාත්මක කර ඇති බස් නැවතුම්පොළ සඳහා කාර්යාල මේස සහ පුටු මිලදී ගැනීම</t>
  </si>
  <si>
    <t>ඌව පළාත් ප්‍රවාහන අමාත්‍යාංශය</t>
  </si>
  <si>
    <t>ඌව පළාත් මාර්ගස්ථ මගී ප්‍රවාහන අධිකාරිය</t>
  </si>
  <si>
    <t>වැල්ලවාය නගරයේ මොනරාගල පාරේ බස් නැවැතුම්පොලක් ඉදිකිරිම</t>
  </si>
  <si>
    <t>ඇල්ල වැල්ලවාය පාරේ රන්දෙණිය හන්දිය සඳහා බස් නැවැතුම්පොල ඉදිකිරිම</t>
  </si>
  <si>
    <t>හිරිපිටිය හන්දිය අසල බස් නැවැතුම්පල ඉදිකිරිම</t>
  </si>
  <si>
    <t>මහකළුගොල්ල වාරිමාර්ග හන්දිය සඳහා බස්නැවතුම්පල ඉදිකිරිම</t>
  </si>
  <si>
    <t>බිබිල පාරේ දෙහිගම බස් නැවතුම්පොලක් ඉදිකිරිම</t>
  </si>
  <si>
    <t>බිබිල - බදුල්ල මාර්ගයේ යල්කුඹුර කොටගම හන්දිය අසල බස් නැවතුම්පලක් ඉදිකරිම</t>
  </si>
  <si>
    <t>කණුල්වෙල හන්දියේ බස් නැවැතුම්පලක් ඉදිකිරිම</t>
  </si>
  <si>
    <t>මඩුල්ල ප්‍රාදේශිය සභාව අසල බස් නැවැතුම්පලක් ඉදිකිරිම</t>
  </si>
  <si>
    <t>මැදගම මධ්‍ය මහා විද්‍යාලය අසල බස් නැවැතුම්පලක් ඉදිකිරිම</t>
  </si>
  <si>
    <t>මොනරාගල මහානාම පාසල අසල බස් නැවැතුම්පලක් ඉදිකිරිම</t>
  </si>
  <si>
    <t>බිබිලේගල ප්‍රවේශ මාර්ගය සංවර්ධනය කිරිම දෙවන අදියර</t>
  </si>
  <si>
    <t>ජී-ලොන් ප්‍රවේශ මාර්ගය සංවර්ධනය කිරිම</t>
  </si>
  <si>
    <t>ලෝක සංචාරක දින සැමරුම් වැඩසටහන පැවැත්වීම. (ජාතික හා පළාත් වැඩසටහන් පැවැත්වීම)</t>
  </si>
  <si>
    <t>"Visit Uva" වෙබ් අඩවිය යාවත්කාලීන කිරීම</t>
  </si>
  <si>
    <t>සංචාරක ප්‍රවර්ධනය උදෙසා කෙටි විඩියෝ වැඩසටහන් නිර්මාණය කිරීම</t>
  </si>
  <si>
    <t>සංචාරක නාමපුවරු අලුත්වැඩියාව සහ නව නාම පුවරු ඉදි කිරීම</t>
  </si>
  <si>
    <t xml:space="preserve">පාසල් හැරයන තරුණ ප්‍රජාව පාදක කර ගෙන ඌව විශ්ව විද්‍යාලය හා ඒකාබද්ධව හෝටල් ක්ෂේත්‍රය සම්බන්ධව පාඨමාලා පැවැත්වීම </t>
  </si>
  <si>
    <t>ඌව පළාත තුළ හෝටල් ප්‍රමිතිකරණය පිළිබඳ වැඩසටහන් පැවැත්වීම</t>
  </si>
  <si>
    <t>සංචාරක ක්ෂේත්‍රයේ සංවර්ධනය සඳහා පාර්ලිමේන්තු සහ පළාත් පාලන නියෝජිතයන්ගේ දායකත්වය ඉහළ නැංවීම සඳහා වැඩසටහන් සංවිධානය කිරිම</t>
  </si>
  <si>
    <t xml:space="preserve">ඌව පළාතේ සංචාරක මාර්ගෝපදේශකයින්ගේ දැනුම, ආකල්ප, කුසලතා වර්ධනය සඳහා පුහුණු වැඩසටහන් පැවැත්වීම </t>
  </si>
  <si>
    <t>ඌව පළාතේ සංචාරක ආකර්ශණීය ස්ථාන පිළිබඳ දත්ත පද්ධතිය යාවත්කාලීන කිරීම</t>
  </si>
  <si>
    <t>ප්‍රජා සංචාරක සත්කාරක ගම්මාන පිහිටුවීම සහ මුලික පහසුකම් සංවර්ධනය කිරීම  ( බුත්තල)</t>
  </si>
  <si>
    <t>ඌව පළාතේ සංචාරක ආකර්ශණීය ස්ථානවල සනිපාරක්ෂක පහසුකම් සංවර්ධනය කිරීම (පරෙයියන් ඇල්ල ආශ්‍රිත, )</t>
  </si>
  <si>
    <t>ඌව පළාතේ සංචාරක ප්‍රවර්ධනය උදෙසා Street Food Fiesta පැවැත්වීම       ( වැල්ලවාය)</t>
  </si>
  <si>
    <t>මො/සෙවනගල මහා විද්‍යාලය - 90*25 දෙමහල් ගොඩනැඟිල්ලක් ඉදිකිරීම</t>
  </si>
  <si>
    <t>මො/මදුරුකැටිය මහා විද්‍යාලය - 90*25 නව තෙමහල් පාසල් ගොඩනැඟිල්ලක් ඉදිකිරීම. (පළමු අදියර)</t>
  </si>
  <si>
    <t>මො/ඩී.එස්.සේනානායක කණිෂ්ඨ විද්‍යාලය - 80*20 නව පාසල් ගොඩනැඟිල්ලක් ඉදිකිරීම</t>
  </si>
  <si>
    <t>මො/විද්‍යාදර්ශී කණිෂ්ඨ විද්‍යාලය - 40*20 නව පාසල් ගොඩනැඟිල්ලක් ඉදිකිරීම</t>
  </si>
  <si>
    <t>මො/බෝදාගම මහා විද්‍යාලය - 100*20 නව පාසල් ගොඩනැඟිල්ලක් ඉදිකිරීම</t>
  </si>
  <si>
    <t>මො/රන්දෙණිවෙල ක.වි 70*20 ගොඩනැගිල්ල අළුත්වැඩියාව</t>
  </si>
  <si>
    <t>මො/ඩී.එස්.සේනානායක ක.වි.20x30 විදුහල්පති නිල නිවාසය  අළුත්වැඩියාව</t>
  </si>
  <si>
    <t>මො/මහආරගම ක.වි. කාර්යාලය සහිත ගොඩනැගිල්ල අළුත්වැඩියාව</t>
  </si>
  <si>
    <t>මො/ජේ.එම්.කුමාරදාස විද්‍යාලයේ 100*20  ශාලාව අළුත්වැඩියාව</t>
  </si>
  <si>
    <t>මො/චන්දවිමල ප්‍රා.වි.20 x50 ප්‍රභා ශාලාව අළුත්වැඩියාව</t>
  </si>
  <si>
    <t>මො/මල්වත්තාවෙල ප්‍රා.වි.120 x20  අනගාරික ධර්මපාල ශාලාව අළුත්වැඩියාව</t>
  </si>
  <si>
    <t>මො/කුඩාඔය ම.වි.80 x20 ගැමුණු ශාලාව අළුත්වැඩියාව</t>
  </si>
  <si>
    <t>මො/ ගම්පංගුව ක.වි.20* 80 ප්‍රධාන ශාලාව අළුත්වැඩියාව</t>
  </si>
  <si>
    <t>මො/බුදුරුවගල ප්‍රා.වි.80*20  ශාලාව අළුත්වැඩියාව</t>
  </si>
  <si>
    <t>මො/බලහරුව ක .වි 100*20 (ශාලා අංක 02) ශාලාව අළුත්වැඩියාව</t>
  </si>
  <si>
    <t>මො/ඇතාදුටුවැව ක .වි 90*20 (අනගාරික ධර්මපාල) ශාලාව අළුත්වැඩියාව</t>
  </si>
  <si>
    <t>මො/ඇතිලිවැව ම.වි.80*20 ගොඩනැගිල්ල අළුත්වැඩියාව</t>
  </si>
  <si>
    <t>මො/ගල්ගමුව ද්විතීයික  විද්‍යාලයේ 100*20 ගොඩනැගිල්ල අළුත්වැඩියා කිරීම</t>
  </si>
  <si>
    <t>මො/නාගහමඩ ම.වි ප්‍රධාන ශාලාව අළුත්වැඩියාව</t>
  </si>
  <si>
    <t>මො/කොල්ලදෙණිය ම.වි 60*20 කාර්යාලය සහිත ගොඩනැගිල්ල අළුත්වැඩියා කිරීම</t>
  </si>
  <si>
    <t>මො/සෙවනගල මහා විද්‍යාලය  100*20 ගොඩනැගිල්ල අළුත්වැඩියා කිරීම</t>
  </si>
  <si>
    <t>මො/කොටවෙහෙරමංකඩ මහා විද්‍යාලය 40*20 ගොඩනැගිල්ල අළුත්වැඩියා කිරීම</t>
  </si>
  <si>
    <t>මො/කොවුල්ආරගම මහා විද්‍යාලය 40*20 ගුරු නිවාසය අළුත්වැඩියා කිරීම</t>
  </si>
  <si>
    <t>මො/කොවුල්ආරගම මහා විද්‍යාලය 40*20 ගොඩනැගිල්ල අළුත්වැඩියා කිරීම</t>
  </si>
  <si>
    <t xml:space="preserve">මො/සෝමාදේවි මහා විද්‍යාලය 100*20 ගොඩනැගිල්ල අළුත්වැඩියාව
</t>
  </si>
  <si>
    <t>මො/හබරළුවැව මහා විද්‍යාලය 80*20 ගොඩනැගිල්ල අළුත්වැඩියාව</t>
  </si>
  <si>
    <t>මො/මහගම මහානාග  මහා විද්‍යාලය 100*20 ගොඩනැගිල්ල අළුත්වැඩියා කිරීම</t>
  </si>
  <si>
    <t>මො/රතඹලාගම කනිටු විදුහල 30*20 ගුරු නිවාසය අළුත්වැඩියා කිරීම</t>
  </si>
  <si>
    <t>මො/දෙටගමුව කණිෂ්ට විද්‍යාලය 100*20 කැප්පෙටිපොල ශාලාව අළුත්වැඩියා කිරීම</t>
  </si>
  <si>
    <t>මො/ඉඳිකොළපැලැස්ස ප්‍රාථමික විද්‍යාලය 60*20 ගොඩනැගිල්ල අළුත්වැඩියා කිරීම</t>
  </si>
  <si>
    <t>මො/සෙල්ලකතරගම මහා විද්‍යාලය 80*20 ගොඩනැගිල්ල අළුත්වැඩියා කිරීම</t>
  </si>
  <si>
    <t>මො/විද්‍යාලෝක ම.වි. 30*20 ගොඩනැගිල්ල අළුත්වැඩියා කිරීම</t>
  </si>
  <si>
    <t>මො/වැලියාය මයුරගිරි ක.වි.80*30 ගොඩනැගිල්ල අළුත්වැඩියා කිරීම</t>
  </si>
  <si>
    <t>මො/මැදිරිය රාජ්‍යානන්ද ම.වි 100*20 ගොඩනැගිල්ල අළුත්වැඩියා කිරීම</t>
  </si>
  <si>
    <t>මො/හුලන්දාව වම මහා විද්‍යාලයේ වැසිකිළි ප්‍රතිසංස්කරණය කිරීම</t>
  </si>
  <si>
    <t>මො/තෙනගල්ලන්ද මහා විද්‍යාලයේ නල ළිඳ අලුත්වැඩියා කිරීම</t>
  </si>
  <si>
    <t>මො/මදුරකැටිය මහා විද්‍යාලයේ නව වැසිකිළි  ඉදිකිරීම</t>
  </si>
  <si>
    <t>මො/මදුරකැටිය මහා විද්‍යාලය සඳහා ජල ටැංකියක් ලබා දීම</t>
  </si>
  <si>
    <t>මො/විද්‍යාලෝක කණිටු විද්‍යාලයේ වැසිකිළි ප්‍රතිසංස්කරණය කිරීම</t>
  </si>
  <si>
    <t>මො/විහාරගල කණිටු විද්‍යාලය සඳහා නල ළිඳක් ඉදිකිරීම.</t>
  </si>
  <si>
    <t>මො/මල්ලතාව ප්‍රාථමික විද්‍යාලයේ වැසිකිලි ප්‍රතිසංස්කරණය කිරීම</t>
  </si>
  <si>
    <t>මො/විහාරමහාදේවි කණිටු විද්‍යාලයේ නව වැසිකිළි ඉදිකිරීම</t>
  </si>
  <si>
    <t>මො/ඇතාදුටුවැව කණිටු විද්‍යාලයේ ජල පෙරෙන අලුත්වැඩියා කිරීම.</t>
  </si>
  <si>
    <t>මො/බුදුරුවාගල කනිටු විද්‍යාලයේ වැසිකිලි සහ ජල සැපයුම් පද්ධතිය ප්‍රතිසංස්කරණය කිරීම</t>
  </si>
  <si>
    <t>මො/යෞවන කුමාරපුර විද්‍යාලයේ නව වැසිකිළි ඉදිකිරීම</t>
  </si>
  <si>
    <t>මො/මොරහෙලගම ප්‍රාථමික විද්‍යාලයේ වැසිකිළි ප්‍රතිසංස්කරණය කිරීම</t>
  </si>
  <si>
    <t>මො/යාලබෝව ආදර්ශ ප්‍රාථමික විද්‍යාලයට ජල පෙරණයක් ලබාදීම</t>
  </si>
  <si>
    <t>මො/දෙටගමුව මහා විද්‍යාලයේ නව වැසිකිළි ඒකකයක් ඉදිකිරීම</t>
  </si>
  <si>
    <t>මො/කිවුලේආර මහා විද්‍යාලයේ නව වැසිකිළි ඒකකයක් ඉදිකිරීම</t>
  </si>
  <si>
    <t>මො/සදරාජ මහා විද්‍යාලයේ වැසිකිලි අලුත්වැඩියා කිරීම.</t>
  </si>
  <si>
    <t>මො/ධර්මාලෝක ප්‍රාථමික විද්‍යාලයේ වැසිකිලි අලුත්වැඩියා කිරීම.</t>
  </si>
  <si>
    <t>මො/කහකුරුල්ලන්පැලැස්ස කණිටු විද්‍යාලයේ ජල සැපයුම් පද්ධතිය හා වැසිකිලි අලුත් වැඩියා කිරීම.</t>
  </si>
  <si>
    <t>මො/සමගිපුර ජනපති කණිටු විද්‍යාලයේ වැසිකිලි අලුත්වැඩියා කිරීම.</t>
  </si>
  <si>
    <t>මො/අලුත්වැව ප්‍රාථමික විද්‍යාලයේ වැසිකිලි අලුත්වැඩියා කිරීම.</t>
  </si>
  <si>
    <t>මො/හම්බේගමුව මහා විද්‍යාලයේ වැසිකිලි අලුත්වැඩියා කිරීම.</t>
  </si>
  <si>
    <t>මො/සෙල්ලකතරගම මහා විද්‍යාලයේ වැසිකිලි අලුත්වැඩියා කිරීම.</t>
  </si>
  <si>
    <t>මො/මාරිඅරාව මහා විද්‍යාලයේ ජල පෙරණ පද්ධතිය අලුත් වැඩියා කිරීම.</t>
  </si>
  <si>
    <t>මො/නාගහමඩ මහා විද්‍යාලයට ජල මෝටරයක් ​​සැපයීම.</t>
  </si>
  <si>
    <t>මො/ඔබ්බේගොඩ ප්‍රාථමික විද්‍යාලයේ ජල නල පද්ධතිය සකස් කිරීම සහ ගබඩා ටැංකියක් සැපයීම</t>
  </si>
  <si>
    <t>මො/බිබිලමුල්ල විද්‍යාලය සඳහා නල ළිඳක් ඉදිකිරීම.</t>
  </si>
  <si>
    <t>මො/ධර්මාලෝක මහා විද්‍යාලයේ ප්‍රජා ඉගෙනුම් මධ්‍යස්ථානය ප්‍රතිසංස්කරණය කිරීම</t>
  </si>
  <si>
    <t>මො/සඳරාජ මහ විද්‍යාලයේ ආරක්ෂිත පැති බැමිම ඉදිකිරීම</t>
  </si>
  <si>
    <t>මො/මල්වත්තාවෙල ප්‍රාථමික විද්‍යාලයේ අපජල කානු පද්ධතිය ඉදිකිරීම</t>
  </si>
  <si>
    <t>මොණරාගල කලාප කාර්යාලය අලුත්වැඩියා කිරීම</t>
  </si>
  <si>
    <t>මොණරාගල කලාප කාර්යාලයේ 100*60 ගොඩනැඟිල්ල අලුත්වැඩියා කිරීම</t>
  </si>
  <si>
    <t>පාසල් වල හදිසි අලුත්වැඩියා කටයුතු</t>
  </si>
  <si>
    <t>ආපදාවලට ලක් වූ පාසල් පුනරුත්ථාපනය කිරීම</t>
  </si>
  <si>
    <t xml:space="preserve">ඉඩම් අත්පත් කර ගැනීම සහ විධිමත් කිරීම </t>
  </si>
  <si>
    <t>පුහුණු වැඩසටහන් හා ධාරිතා සංවර්ධන වැඩසටහන් පැවැත්වීම</t>
  </si>
  <si>
    <t>උපකරණ මිලදී ගැනීම් (පාසල් ලීබඩු, උපකරණ, පරිගණක, කාර්යාල උපකරණ,සෞන්දර්ය උපකරණ ආදී)</t>
  </si>
  <si>
    <t>ඌව පළාත් අධ්‍යාපන අමත්‍යාංශය</t>
  </si>
  <si>
    <t>ඌව පළාත</t>
  </si>
  <si>
    <t>තෙනගල්ලන්ද</t>
  </si>
  <si>
    <t>මො/මහගම ආදර්ශ ප්‍රාථමික විද්‍යාලය 100*20 ගොඩනැගිල්ල අළුත්වැඩියා කිරීම</t>
  </si>
  <si>
    <t>මො/කිරිවැව බණ්ඩාරනායක මහා විද්‍යාලය 100*20 ගොඩනැගිල්ල අළුත්වැඩියාව</t>
  </si>
  <si>
    <t>මො/සෙවනගල මහ විද්‍යාලයේ අපජල කාණු පද්ධතිය ඉදිකිරීම</t>
  </si>
  <si>
    <t>මො/කළවැල්ගල ප්‍රාථමික විද්‍යාලයේ ආරක්ෂිත බෝක්කුව සැකසීම.</t>
  </si>
  <si>
    <t>මො/චන්ද්‍රවිමල ප්‍රාථමික විද්‍යාලයේ ආරක්ෂිත පැති බැමිම ඉදිකිරීම</t>
  </si>
  <si>
    <t>කොල්ලදෙනිය ප්‍රජා ජල ව්‍යාපෘතිය සඳහා වතුර මෝටරයක් ලබාදිම</t>
  </si>
  <si>
    <t>මො/දඹගල්ල පියරතන මහ විද්‍යාලයේ ආරක්ෂිත පැති බැමිම ඉදිකිරීම</t>
  </si>
  <si>
    <t>දොඩම්ගොල්ල, මොරොත්තමුල්ල, නාගල මාර්ගය ගල් අතුරා තාර දෑමිම</t>
  </si>
  <si>
    <t>මො/මහආරගම කණිෂ්ඨ විද්‍යාලය - 100*20 නව පාසල් ගොඩනැඟිල්ලක් ඉදිකිරීම</t>
  </si>
  <si>
    <t>මො/තෙළුල්ල ප්‍රාථමික විද්‍යාලයේ වැසිකිලි ප්‍රතිසංස්කරණය කිරීම</t>
  </si>
  <si>
    <t>මො/රන්දෙණිවෙල ප්‍රාථමික විද්‍යාලයේ වැසිකිළි ප්‍රතිසංස්කරණය කිරීම</t>
  </si>
  <si>
    <t>මො/කුඩා ඹය විද්‍යාලයේ විශේෂ අධ්‍යාපන ඒකකය අලුත්වැඩියා කිරීම</t>
  </si>
  <si>
    <t>අඹේලන්ද,නාගල,අඹගොඩ,තෙල්වෙල</t>
  </si>
  <si>
    <t>අඹගොඩ,ඉලුක්පතන,වෑගම දකුණ,හමාපොල,අඹේලන්ද,කවුඩැල්ල,ගඟේලියද්ද,ඌරාවුල</t>
  </si>
  <si>
    <t>යල්කුඹුර ගම්මැද්ද පිවිසුම් මාර්ගය කොන්ක්‍රීට් කිරීම</t>
  </si>
  <si>
    <t>දොඩම්ගොල්ල කකුරුගොල්ල අරාව මාර්ගය කොන්ක්‍රීට් කිරීම</t>
  </si>
  <si>
    <t>රතුපස්කැටිය, රතුවඹ, ඊරියගොල්ල මාර්ගය කොන්ක්‍රීට් කිරීම</t>
  </si>
  <si>
    <t>කරගහවෙල බටහිර මධ්‍යස්ථානයේ සිට පේරගස්පිටිය ප්‍රජා ශාලාව දක්වා මාර්ගය කොන්ක්‍රීට් කිරීම</t>
  </si>
  <si>
    <t>අඹගොල්ල ප්‍රේමරත්න මහතාගේ නිවසේ සිට මඩුලන්ද දක්වා මාර්ගය කොන්ක්‍රීට් කිරීම</t>
  </si>
  <si>
    <t>ගැටහවෙල ප්‍රධාන මාර්ගයේ සිට ගලඔයමුල්ල දක්වා මාර්ගය කොන්ක්‍රීට් කිරීම</t>
  </si>
  <si>
    <t>මහියංගන මාර්ගයේ ඇඟලුම් කම්හල ඉදිරිපිට නළ ළිඳ අසල මාර්ගය (දකුණු පස) කොන්ක්‍රීට් කිරීම</t>
  </si>
  <si>
    <t>මොරත්තමුල්ල අඹගහකිවුල මාර්ගය කොන්ක්‍රීට් කිරීම</t>
  </si>
  <si>
    <t>පොදු ළිං 4 ක් ප්‍රතිසංස්කරණය කිරීම</t>
  </si>
  <si>
    <t>අක්‍රිය නළ ළිං 15 ක් අලුත්වැඩියා කිරීම</t>
  </si>
  <si>
    <t>බිබිල හි ප්‍රතිචක්‍රීකරණ එකතු කිරීමේ මධ්‍යස්ථාන ඉදිකිරීම</t>
  </si>
  <si>
    <t>පළාත් පාලන දෙපාර්තමේන්තුව</t>
  </si>
  <si>
    <t>කොකැටිය ප්‍රජාශාලාව අසල අතුරු මාර්ගය කොන්ක්‍රිට් කිරිම</t>
  </si>
  <si>
    <t>බුත්තල හි ප්‍රතිචක්‍රීකරණ එකතු කිරීමේ මධ්‍යස්ථානය ඉදිකිරීම</t>
  </si>
  <si>
    <t>බුත්තල ප්‍රාදේශිය සභාව</t>
  </si>
  <si>
    <t>ගෝතමීගම කිණිහිරියාගම කංකානි නිවසේ සිට කුමාර මහතාගේ නිවස දක්වා මාර්ගය කොන්ක්‍රීට් කිරීම.</t>
  </si>
  <si>
    <t>ගෝතමීගම කිණිහිරියාගම උක්කු පුතා මහතාගේ නිවසේ සිට කසුන් මහතාගේ නිවස දක්වා මාර්ගය කොන්ක්‍රීට් කිරීම</t>
  </si>
  <si>
    <t>ගෙස්ටුපාන තණමල්විල මාර්ගයේ බේකරිය අසල අතුරු මාර්ගය කොන්ක්‍රීට් කිරීම</t>
  </si>
  <si>
    <t>කඳසුරිඳුගම ඇඟලුම් කම්හල අසල මාර්ගය කොන්ක්‍රීට් කිරීම</t>
  </si>
  <si>
    <t>සෙල්ලකතරගම වල්ලි ගුහාව මාර්ගය කොන්ක්‍රීට් කිරීම</t>
  </si>
  <si>
    <t>සමෘද්ධි බැංකුවේ සිට Y.M.B.A.Land දක්වා මාර්ගය කොන්ක්‍රීට් කිරීම</t>
  </si>
  <si>
    <t>නාගහ වීදිය තුන්වන පටුමග කොන්ක්‍රීට් කිරීම</t>
  </si>
  <si>
    <t>කඳසුරිඳුගම කුමාර මහතාගේ නිවස අසල මාර්ගය කොන්ක්‍රීට් කිරීම</t>
  </si>
  <si>
    <t>වැඩිහිටි කන්ද පාරේ නළ ළිඳක් ඉදිකිරීම</t>
  </si>
  <si>
    <t>ගෝතමීගම කැලේ දේවාල මාර්ගයේ ජල ටැංකියක් ඉදිකිරීම සහ ජලය සැපයීම</t>
  </si>
  <si>
    <t>කතරගම ප්‍රාදේශිය සභාව</t>
  </si>
  <si>
    <t>බදුල්ලගොල්ල පොල්ගහවත්ත මාර්ගය කොන්ක්‍රීට් කිරීම</t>
  </si>
  <si>
    <t>මැදගම තැපැල් කාර්යාලයේ සිට පිටදෙණිය දක්වා මාර්ගය කොන්ක්‍රීට් කිරීම</t>
  </si>
  <si>
    <t>කොන්ගොල්ල සාගර සහල් මෝලේ සිට ප්‍රජා ශාලාව දක්වා මාර්ගය කොන්ක්‍රීට් කිරීම</t>
  </si>
  <si>
    <t>නන්නපුරාව ගලබැඳිකැටිය මාර්ගය කොන්ක්‍රීට් කිරීම</t>
  </si>
  <si>
    <t>මැල්ලේගම කිවුලේකඳුර මාර්ගය කොන්ක්‍රීට් කිරීම</t>
  </si>
  <si>
    <t>කනේගලමුල්ල අතුරු මාර්ගය කොන්ක්‍රීට් කිරීම</t>
  </si>
  <si>
    <t>මොණරවාන කළුගහවාඩිය මාර්ගය කොන්ක්‍රීට් කිරීම</t>
  </si>
  <si>
    <t>කීනගොඩ මඩුතැන්න මාර්ගය කොන්ක්‍රීට් කිරීම</t>
  </si>
  <si>
    <t>තිඹිරිය පළමු කණුව පොල්ගහවෙල මාර්ගය  කිලෝමීටර 01 දක්වා ජල නල දිගු කිරීම (ජල සැපයුම් මණ්ඩලය)</t>
  </si>
  <si>
    <t>අරටුමැඩිල්ල ජල යෝජනා ක්‍රමයේ ජල නල දිගු කිරීම</t>
  </si>
  <si>
    <t>පොතුබඳන ගල්කන්දයාය ජල ව්‍යාපෘතියේ ජල නල මාර්ග දිගු කිරීම</t>
  </si>
  <si>
    <t>මැදගම ප්‍රාදේශිය සභාව</t>
  </si>
  <si>
    <t>ඉලුක්ලන්ද බොරගොඩ මාර්ගය කොන්ක්‍රීට් කිරීම</t>
  </si>
  <si>
    <t>පපලේගොඩ මාර්ගය කොන්ක්‍රීට් කිරීම</t>
  </si>
  <si>
    <t>ගොවිජන සේවා මධ්‍යස්ථානය ඉදිරිපිට ලයිට් මාර්ගයේ පළමු බෝක්කුව ඉදිකිරීම</t>
  </si>
  <si>
    <t>ගොවිජන සේවා මධ්‍යස්ථානය ඉදිරිපිට ලයිට් මාර්ගයේ දෙවන බෝක්කුව ඉදිකිරීම</t>
  </si>
  <si>
    <t>බදුලුවෙල උඩ අරාව මාර්ගයේ බෝක්කුව ඉදිකිරීම</t>
  </si>
  <si>
    <t>තල්කොටයාය මහපිටිය මාර්ගයේ බෝක්කුව ඉදිකිරීම</t>
  </si>
  <si>
    <t>නාගහමඩ හෙවන් ආර අතුරු මාර්ගයේ බෝක්කුව ඉදිකිරීම</t>
  </si>
  <si>
    <t>ගංගොඩ අරාව ගල්මඩ මාර්ගයේ බෝක්කුව ඉදිකිරීම</t>
  </si>
  <si>
    <t>රිටිගහවත්ත රත්තුරුකැටිය මාර්ගය කොන්ක්‍රීට් කිරීම</t>
  </si>
  <si>
    <t>පොල්ගහගම අඹගොල්ල මාර්ගය කොන්ක්‍රීට් කිරීම</t>
  </si>
  <si>
    <t>තැරෑල බෙල්ලන්න ආර බෝක්කුව ඉදිකිරීම</t>
  </si>
  <si>
    <t>කොල්ලදෙණිය දේවාලය මාර්ගයේ පළමු බෝක්කුව ඉදිකිරීම</t>
  </si>
  <si>
    <t>ගල්ගමුව කිරිඔරුව යායේ පළමු බෝක්කුව ඉදිකිරීම</t>
  </si>
  <si>
    <t>කහගොල්ල ජල ව්‍යාපෘතියේ ජල පවිත්‍රාගාරය සඳහා ජල පෙරහනක් සවි කිරීම</t>
  </si>
  <si>
    <t>බණ්ඩාරවාඩිය ජල ව්‍යාපෘතියේ ජල පවිත්‍රාගාරය සඳහා ජල පෙරහනක් සවි කිරීම</t>
  </si>
  <si>
    <t>අලයාය ජල පවිත්‍රාගාරය ප්‍රතිසංස්කරණය කිරීම</t>
  </si>
  <si>
    <t>කොම්පෝස්ට් අංගනය ඉදිකිරීම</t>
  </si>
  <si>
    <t>මඩුල්ල - මඩුල්ල ප්‍රාදේශීය සභාවේ සංචාරක බංගලාව වටා ආරක්ෂක වැටවල් ඉදිකිරීම</t>
  </si>
  <si>
    <t>මඩුල්ල ප්‍රාදේශිය සභාව</t>
  </si>
  <si>
    <t>මොණරාගල ප්‍රාදේශිය සභාව</t>
  </si>
  <si>
    <t>පොකුණුගල පන්සල පාරේ පෙරහැර මාවත කොන්ක්‍රීට් කිරීම</t>
  </si>
  <si>
    <t>මුප්පනේ ජල සම්පාදන මණ්ඩල මාර්ගය කොන්ක්‍රීට් කිරීම</t>
  </si>
  <si>
    <t>බැරල් හන්දියේ ඉත්තෑකටුව වැව මාර්ගය කොන්ක්‍රීට් කිරීම</t>
  </si>
  <si>
    <t>බෝපිටියේ පහළගම මාර්ගය කොන්ක්‍රීට් කිරීම</t>
  </si>
  <si>
    <t>ගුරුහෙල වැලිකඩේ මාර්ගය කොන්ක්‍රීට් කිරීම</t>
  </si>
  <si>
    <t>ටැංවත්ත නිල්ගහ අරාව මාර්ගය කොන්ක්‍රීට් කිරීම</t>
  </si>
  <si>
    <t>විහාරමුල්ල, බූටගොල්ල සුසාන භූමිය මාර්ගය කොන්ක්‍රීට් කිරීම</t>
  </si>
  <si>
    <t>හුලංදාව, නුගේ කඩේ ජල සම්පාදන මණ්ඩල මාර්ගය කොන්ක්‍රීට් කිරීම</t>
  </si>
  <si>
    <t>කවුඩාව කොට්ඨාශයේ නවෝද්‍යා ප්‍රජා ජල යෝජනා ක්‍රමයේ ජල නල එළීම</t>
  </si>
  <si>
    <t>මොනරාගල කොම්පෝස්ට් අංගන පරිශ්‍රයේ අර්ධ වායුගෝලීය බිම් පිරවුම් ඉදිකිරීම</t>
  </si>
  <si>
    <t>අලියාවත්ත අක්කර 8 මාර්ගය කොන්ක්‍රීට් කිරීම</t>
  </si>
  <si>
    <t>තණමල්විල ප්‍රාදේශිය සභාව</t>
  </si>
  <si>
    <t>මහගම කඳවුර ප්‍රදේශයේ පෙර පාසල් මාර්ගයේ චන්දන මහතාගේ නිවස ඉදිරිපිට බෝක්කුවක් ඉදිකිරීම</t>
  </si>
  <si>
    <t>දළුක්කැටිය ඉඩම් අංක 469 සහ 470 අතර මාර්ගයේ බෝක්කුව ඉදිකිරීම</t>
  </si>
  <si>
    <t>කොවුල් ආර පලුගහ හන්දියේ සිට ගඟ දක්වා මාර්ගයේ 5 වන පටුමඟ කොන්ක්‍රීට් කිරීම</t>
  </si>
  <si>
    <t>නිමල් මහතාගේ නිවස අසලින් කිවුල් ආර නදිමාවත සිට ගඟ දක්වා මාර්ගය කොන්ක්‍රීට් කිරීම</t>
  </si>
  <si>
    <t>බෝදාගම කමල් මහතාගේ කඩේ අසල බෝක්කුවේ සිට සිරිපාල මහතාගේ නිවස දක්වා මාර්ගය කොන්ක්‍රීට් කිරීම</t>
  </si>
  <si>
    <t>මීගස්වැව ඉන්දික මහතාගේ නිවස අසල සපත්තු පාලම් 2 ක් සහිත අතුරු මාර්ගය කොන්ක්‍රීට් කිරීම</t>
  </si>
  <si>
    <t>හබුරුගල සේමපාල මාවත කොන්ක්‍රීට් කිරීම (ඉතිරි කොටස)</t>
  </si>
  <si>
    <t>සමාධිපුර මිල්ටන් මහතාගේ නිවස ඉදිරිපිට මාර්ගය කොන්ක්‍රීට් කිරීම</t>
  </si>
  <si>
    <t>රන්වැලිගම බෝධිරාජ විහාරස්ථානය අසල මාර්ගය කොන්ක්‍රීට් කිරීම</t>
  </si>
  <si>
    <t>කොමලිගම කුකුල් කටුව මාර්ගය කොන්ක්‍රීට් කිරීම</t>
  </si>
  <si>
    <t>සතුටුගම මාර්ගය කොන්ක්‍රීට් කිරීම (ඉතිරි කොටස)</t>
  </si>
  <si>
    <t>නිමල් මහතාගේ නිවස අසල ඉඳිකොලපැලැස්ස පිවිසුම් මාර්ගයේ කාණු පද්ධතියක් ඉදිකිරීම</t>
  </si>
  <si>
    <t>නෙළුම්වැව ජල ව්‍යාපෘතිය සඳහා ජල මෝටරයක් ​​සවි කිරීම සහ ජල නල පද්ධතිය දිර්ඝ කිරීම</t>
  </si>
  <si>
    <t>ආනන්දගම ජල ව්‍යාපෘතිය සඳහා ජල මෝටරයක් ​​සවි කිරීම සහ ජල නල පද්ධතිය දිර්ඝ කිරීම</t>
  </si>
  <si>
    <t>තණමල්විල ප්‍රාදේශීය සභාවේ සෙවනගල පුස්තකාලයේ විදුලි පද්ධතිය අලුත්වැඩියා කිරීම.</t>
  </si>
  <si>
    <t>වැල්ලවාය ප්‍රාදේශිය සභාව</t>
  </si>
  <si>
    <t>පැරණි ඇල්ල මාර්ගයේ කාණු පද්ධතිය සහ පදික වේදිකාව ඉදිකිරීම</t>
  </si>
  <si>
    <t>කෙන්වෙලාන මාර්ගය කොන්ක්‍රීට් කිරීම</t>
  </si>
  <si>
    <t>ඇල්ල පාරේ පල්ලිය අසල මාර්ගය කොන්ක්‍රීට් කිරීම</t>
  </si>
  <si>
    <t>කොටවෙහෙරගල මයුර හාල්මෝල ඉදිරිපිට මාර්ගය කොන්ක්‍රීට් කිරීම</t>
  </si>
  <si>
    <t>දිඹුලමුරය මාර්ගය කොන්ක්‍රීට් කිරීම (ඩෙලීෂා කඩය අසල)</t>
  </si>
  <si>
    <t>මහවෙලමුල්ල මුස්ලිම් පල්ලිය මාර්ගය කොන්ක්‍රීට් කිරීම</t>
  </si>
  <si>
    <t>මහවෙලමුල්ලේ රවුෆික්ගේ නිවස අසල මාර්ගය කොන්ක්‍රීට් කිරීම.</t>
  </si>
  <si>
    <t>ආනපල්ලම 3 වන සහ 4 වන සැතපුම් කණුව ජල යෝජනා ක්‍රමයේ ජල ටැංකිය වැඩිදියුණු කිරීම සහ ජල නල එළීම</t>
  </si>
  <si>
    <t>වැල්ලවාය කොම්පෝස්ට් අංගනයේ දාහකයක් සවි කිරීම</t>
  </si>
  <si>
    <t>වැල්ලවාය සතිපොළ ගොඩනැගිල්ලේ ඉහළ මහලේ ඉතිරි වැඩ නිම කිරීම - වැල්ලවාය ප්‍රාදේශීය සභාව</t>
  </si>
  <si>
    <t>වැල්ලවාය ආදාහනාගාරය - වැල්ලවාය ප්‍රාදේශීය සභාවේ වැසිකිළිය වැඩිදියුණු කිරීම සහ ගබඩා කාමරයක් ඉදිකිරීම</t>
  </si>
  <si>
    <t>පළාත් පාලන ආයතන සතු වත්කම් (මාර්ග, ඉඩම්, ජලය, ගොඩනැගිලි, වීදි ලාම්පු) සඳහා භූගෝලීය තොරතුරු පද්ධතියක් ස්ථාපිත කිරීම</t>
  </si>
  <si>
    <t>දැනුවත් කිරීමේ වැඩසටහනක් පැවැත්වීම</t>
  </si>
  <si>
    <t>පළාත් පාලන ආයතනයන්හි සුසාන භූමි විධිමත් කිරීම (සමීක්ෂණය සහ මායිම් ලකුණු කිරීම)</t>
  </si>
  <si>
    <t>හඳුනාගත් මහජන පුස්තකාල 10ක් සඳහා වෙබ් පාදක මෘදුකාංගයක් හඳුන්වාදීම</t>
  </si>
  <si>
    <t>සූර්ය වීදි ලාම්පු 200 ක ස්ථාපනය කිරීම</t>
  </si>
  <si>
    <t>බදුල්ල හා මොනරාගල සියලු පළාත් පාලන ආයතන</t>
  </si>
  <si>
    <t>ඌව පළාත් ග්‍රාම සංවර්ධන දෙපාර්තමේන්තුව</t>
  </si>
  <si>
    <t xml:space="preserve">අමුණුදෝව ගුරුහෙල මාර්ගයේ බුදුමැදුර අසල බෝක්කුව ඉදිකිරිම </t>
  </si>
  <si>
    <t>දෙහිකිඳ ගමේ පන්සල මාර්ගය කොන්ක්‍රීට් කිරීම</t>
  </si>
  <si>
    <t xml:space="preserve"> පටියලන්ද කනත්ත පාරේ බෝක්කුව ඉදිකිරීම</t>
  </si>
  <si>
    <t xml:space="preserve"> මාගන්දනමුල්ල ආරියසිරි පටුමග කොන්ක්‍රීට් කිරීම </t>
  </si>
  <si>
    <t xml:space="preserve">දෙහිකිඳගම පාසැල් මාර්ගයේ බුදුමැදුර අසලින් ඇති අතුරු  මාර්ගය කොන්ක්‍රිට් කිරිම </t>
  </si>
  <si>
    <t>මොනරාගල ප්‍රාදේශිය ලේකම් කාර්යාල වොලිබෝල් පිටිය සංවර්ධනය කිරිම</t>
  </si>
  <si>
    <t>කාර්යාලගත පුහුණු පාඨමාලා පැවැත්විම</t>
  </si>
  <si>
    <t xml:space="preserve"> කහගොල්ල දියකොළයාය මාර්ගය කොන්ක්‍රීට් කිරීම </t>
  </si>
  <si>
    <t>හෙළගම මාර්ගය කොන්ක්‍රීට් කිරීම.</t>
  </si>
  <si>
    <t xml:space="preserve"> ගල්ගොඩගම-කටුපැලැල්ල වැව මාර්ගය කොන්ක්‍රීට් කිරීම.</t>
  </si>
  <si>
    <t>ගෝනතලාව-අලකොළආර වැවේ මාර්ගයේ දුෂ්කර ප්‍රදේශ කොන්ක්‍රීට් කිරීම.</t>
  </si>
  <si>
    <t>සේනාපතිය බොක්කේමඩ මාර්ගය කොන්ක්‍රීට් කිරීම</t>
  </si>
  <si>
    <t xml:space="preserve"> කොටිගොඩ මාර්ගය කොන්ක්‍රීට් කිරීම. </t>
  </si>
  <si>
    <t>අයිවල සේනාපතිය පාරේ සිට මුරුංගවත්ත දක්වා මාර්ගය සංවර්ධනය කිරීම.</t>
  </si>
  <si>
    <t>කොටබෝව අලුත්වෙල කැන්දලන්ද මාර්ගය කොන්ක්‍රීට් කිරීම.</t>
  </si>
  <si>
    <t xml:space="preserve">බුදුරුවගල සමගි මාවත අසල වමට හැරෙන අතුරු මාර්ගය කොන්ක්‍රීට් කිරීම. </t>
  </si>
  <si>
    <t xml:space="preserve"> සියඹලාගුණ මාර්ගයේ එකේ කණුව අසල උල්හිටිතැන්න අතුරු මාර්ගය කොන්ක්‍රීට් කිරීම. </t>
  </si>
  <si>
    <t xml:space="preserve">කඳසුරුඳුගම තුන්වන පෙල එච්.ඒ. විල්සන් මහතාගේ නිවස අසල සිට මාර්ගය කොන්ක්‍රිට් කිරිම </t>
  </si>
  <si>
    <t xml:space="preserve">කඳසුරුඳුගම රජමාවත අසල කුමාර මහතාගේ නිවස අසල සිට මාර්ගය කොන්ක්‍රිට් කිරිම </t>
  </si>
  <si>
    <t xml:space="preserve"> IOC ඉන්ධන පිරවුම්හල අසල මාර්ගය කොන්ක්‍රීට් කිරීම (අදියර 2) </t>
  </si>
  <si>
    <t xml:space="preserve">ගල්වලලන්ද  අතුරු මාර්ගය කොන්ක්‍රීට් කිරීම </t>
  </si>
  <si>
    <t xml:space="preserve"> පිටකුඹුර කැන්දවලලන්ද මාර්ගය කෝසුව සමඟ සංවර්ධනය කිරිම </t>
  </si>
  <si>
    <t xml:space="preserve"> නිකවැව - නිකරා ධර්මාරාම මාර්ගය කොන්ක්‍රීට් කිරීම </t>
  </si>
  <si>
    <t xml:space="preserve"> අලුත්වැව කිලිඹුන්න මව්ගල මාර්ගය කොන්ක්‍රීට් කිරීම </t>
  </si>
  <si>
    <t>හබුරුගල බෝධිරාජපුර ලයිට්පාර සුගත් මහතාගේ නිවස අසලින් ඇල කණ්ඩිය හරහා කෝසුවක් ඉදිකිරිම</t>
  </si>
  <si>
    <t xml:space="preserve"> හබුරුගල හේමපාල මාවත සුසාන භුමිය අසල බෝක්කුව ඉදිකිරිම </t>
  </si>
  <si>
    <t xml:space="preserve">සෙවනගල උතුර ප්‍රජාශාලාව අසල සුසාන භුමිය මාර්ගයේ බෝක්කුව ඉදිකිරිම </t>
  </si>
  <si>
    <t xml:space="preserve">කාවන්තිස්සපුර ගුණසේකර මහතාගේ නිවස අසල මාර්ගයේ බෝක්කුව ඉදිකිරිම </t>
  </si>
  <si>
    <t>පුංචිවැව පන්සල ඉදිරිපිට මාර්ගයේ නිමල් මහතාගේ නිවස අසල සිට සංවර්ධනය කිරිම</t>
  </si>
  <si>
    <t xml:space="preserve">වැලිආර කුමාරපුර ඒකාබද්ධ ජල ව්‍යාපෘතිය මුරුගස් හන්දිය දක්වා ක්‍රියාත්මක කිරීම. </t>
  </si>
  <si>
    <t>දොඩම්ගොල්ල ග්‍රාමීය කාන්තා අභිවෘද්ධි මධ්‍යස්ථානයේ වහලය සකස් කිරීම, සිවිලිම සකස් කිරීම සහ සංවර්ධනය කිරීම</t>
  </si>
  <si>
    <t xml:space="preserve">මඩුල්ල ග්‍රාමීය කාන්තා අභිවෘද්ධි මධ්‍යස්ධානය සංවර්ධන කිරිම. (ඇලුමිනියම් දොරවල්, ජනෙල් යොදිම) </t>
  </si>
  <si>
    <t xml:space="preserve">කතරගම ග්‍රාමිය කාන්තා අභිවෘද්ධි මධ්‍යස්ථානයේ තාප්පය ඉදිකිරිම. </t>
  </si>
  <si>
    <t>18 වන සැතපුම් කණුව ජල පෙරහන අසල අතුරු මාර්ගය කොන්ක්‍රිට් කිරිම</t>
  </si>
  <si>
    <t xml:space="preserve"> 6 වන සැතපුම් කණුව මුල්ලේකුඹුර මාර්ගය ප්‍රිමික්ස් යොදා සංවර්ධනය කිරීම  </t>
  </si>
  <si>
    <t xml:space="preserve">සිනුක්කුව කුඩා ගම්මාන 1-2  ඩබ්.ඒ.වසන්ත මහතාගේ නිවස අසල සිට ප්‍රධාන මාර්ගය දක්වා මාර්ගය කොන්ක්‍රිට් කිරිම </t>
  </si>
  <si>
    <t>ගුනසේකර පෙරපාසලේ ගොඩනැගිල්ල ප්‍රතිසංස්කරණය කිරිම</t>
  </si>
  <si>
    <t>ඌව පළාත් මුල් ළමාවිය සං.අධිකාරිය</t>
  </si>
  <si>
    <t>ගොඩනැගිලි දෙපා.</t>
  </si>
  <si>
    <t>දිමුතු පෙර පාසලේ ගොඩනැගිල්ල ප්‍රතිසංස්කරණය කිරිම</t>
  </si>
  <si>
    <t>සමගි පෙර පාසලේ ගොඩනැගිල්ල ප්‍රතිසංස්කරණය කිරිම</t>
  </si>
  <si>
    <t>අමිල පෙර පාසලේ ගොඩනැගිල්ල ප්‍රතිසංස්කරණය කිරිම</t>
  </si>
  <si>
    <t>ශ්‍රි දිමුතු පෙර පාසලේ ගොඩනැගිල්ල ප්‍රතිසංස්කරණය කිරිම</t>
  </si>
  <si>
    <t>එකමුතු පෙරපාසලේ ගොඩනැගිල්ල ප්‍රතිසංස්කරණය කිරිම</t>
  </si>
  <si>
    <t>පුංචි කැකුළු පෙරපාසලේ ගොඩනැගිල්ල ප්‍රතිසංස්කරණය කිරිම</t>
  </si>
  <si>
    <t>වාසනා පෙරපාසලේ ගොඩනැගිල්ල ප්‍රතිසංස්කරණය කිරිම</t>
  </si>
  <si>
    <t>ගජබා පෙරපාසලේ ගොඩනැගිල්ල ප්‍රතිසංස්කරණය කිරිම</t>
  </si>
  <si>
    <t>සමාධි  පෙරපාසලේ ගොඩනැගිල්ල ප්‍රතිසංස්කරණය කිරිම</t>
  </si>
  <si>
    <t>මල්සිරි පෙරපාසලේ ගොඩනැගිල්ල ප්‍රතිසංස්කරණය කිරිම</t>
  </si>
  <si>
    <t>සමගි පෙර පාසල සඳහා ආරක්ෂිත වැට ඉදිකිරිම</t>
  </si>
  <si>
    <t>ලයිට් හවුස් පෙර පාසල සඳහා ආරක්ෂිත වැට ඉදිකිරිම</t>
  </si>
  <si>
    <t>අපේක්ෂා පෙරපාසල සඳහා ආරක්ෂිත වැට ඉදිකිරිම</t>
  </si>
  <si>
    <t>වෘත්තීය සුදුසුකම් නොමැති ගුරුවරුන් සඳහා NVQ සහ ඩිප්ලෝමා පාඨමාලා පැවැත්වීම.</t>
  </si>
  <si>
    <t>අ.පො.ස. සුදුසුකම් නොමැති ගුරුවරුන් සඳහා NVQ මට්ටම 4 (RPL) හරහා අධ්‍යාපන සුදුසුකම් ලබා දීම.</t>
  </si>
  <si>
    <t>විෂයමාලා රාමුවට අනුකූලව පෙර පාසල් දරුවන් සඳහා ක්‍රියාකාරකම් ඇතුළත් ක්‍රියාකාරී ගුරු මාර්ගෝපදේශක අත්පොතක් සකස් කිරීම.</t>
  </si>
  <si>
    <t>ක්‍රියාකාරී ගුරු මාර්ගෝපදේශක අත්පොත මුද්‍රණය කර බෙදා හැරීම.</t>
  </si>
  <si>
    <t>නව පෙර පාසල් විෂය මාලාව පිළිබඳ අවබෝධය සහ ක්‍රියාත්මක කිරීම වැඩි දියුණු කිරීම සඳහා සම්පත්දායකයින්, අධ්‍යාපන නිලධාරීන් සහ ගුරුවරුන් සඳහා පුහුණු සැසි පැවැත්වීම.</t>
  </si>
  <si>
    <t>හැසිරීම් වෙනස්වීම්, ක්‍රීඩා සහ ක්‍රියාකාරකම් පාදක ක්‍රම සහ වැඩිදියුණු කිරීම ප්‍රවර්ධනය කිරීම සඳහා නිවස පදනම් කරගත් ප්‍රවේශයන් සඳහා තාක්ෂණික කණ්ඩායම සමඟ මාර්ගෝපදේශ සකස් කිරීම.</t>
  </si>
  <si>
    <t>ප්‍රාදේශීය මට්ටමින් සකස් කරන ලද මාර්ගෝපදේශ සහ ක්‍රියාත්මක කිරීමේ ක්‍රම පිළිබඳව නිලධාරීන්, ගුරුවරුන් සහ දෙමාපියන් පුහුණු කිරීම සහ දැනුවත් කිරීම.</t>
  </si>
  <si>
    <t>පෙර පාසල් මට්ටමින් පෙර පාසල් ඉගෙනුම් කව 250ක් සඳහා ගෘහස්ථ සෞන්දර්යාත්මක ඉගෙනුම් ද්‍රව්‍ය ප්‍රසම්පාදනය කිරිම</t>
  </si>
  <si>
    <t>ඉගෙනුම් මෙවලම් ඵලදායී ලෙස භාවිතා කිරීම පිළිබඳව පෙර පාසල් ගුරුවරුන් පුහුණු කිරීම.</t>
  </si>
  <si>
    <t>අඩු වියදම් ඉගෙනුම් ද්‍රව්‍ය සංවර්ධනය හා භාවිතය පිළිබඳව පෙර පාසල් ගුරුවරුන් සඳහා පුහුණුව පැවැත්වීම.</t>
  </si>
  <si>
    <t>පෙර පාසල් ඉගෙනුම් කවය සඳහා ගෘහස්ථ ඉගෙනුම් ද්‍රව්‍ය හා උපකරණ ලබා දීම.</t>
  </si>
  <si>
    <t>පෙර පාසල් සඳහා ප්‍රථමාධාර කට්ටල ලබා දීමෙන් කුඩා දරුවන්ගේ ආරක්ෂාව සහතිත කිරීම.</t>
  </si>
  <si>
    <t>සෞඛ්‍ය ප්‍රවර්ධන වැඩසටහනට සහභාගී වන පෙර පාසල් සඳහා කසළ බඳුන් සහ ආපදා අවම කිරීමේ උපකරණ ලබා දීම.</t>
  </si>
  <si>
    <t>සකස් කරන ලද පාරිසරික මාර්ගෝපදේශ මත පදනම්ව පාරිසරික දැනුවත්භාවය, අපද්‍රව්‍ය කළමනාකරණය සහ දේශගුණික විපර්යාස අනුවර්තනය පිළිබඳව පෙර පාසල් ගුරුවරුන් සඳහා පුහුණු වැඩසටහන.</t>
  </si>
  <si>
    <t>පෙර පාසල් සහ ප්‍රජාවන් තුළ සෞඛ්‍යය ඵලදායී ලෙස ප්‍රවර්ධනය කිරීම සඳහා ගුරුවරුන්ගේ සහ නිලධාරීන්ගේ ධාරිතාව ශක්තිමත් කිරීම.</t>
  </si>
  <si>
    <t>සකස් කරන ලද මාර්ගෝපදේශ මත පදනම්ව සාමාජිකයින් සහ නිලධාරීන් සඳහා පුහුණුව පැවැත්වීම.</t>
  </si>
  <si>
    <t>නායකත්වය, අධීක්ෂණය සහ ඇගයීම, සහ සමීක්ෂණ සැලසුම් කිරීම සහ ක්‍රියාත්මක කිරීම පිළිබඳ පුහුණුව තුළින් සාමාජිකයින්ගේ සහ නිලධාරීන්ගේ හැකියාවන් ශක්තිමත් කිරීම.</t>
  </si>
  <si>
    <t>පෙර පාසල් විෂයමාලා ක්‍රියාත්මක කිරීම සඳහා අවශ්‍යතා ආකෘතිය, පොත්පත් සහ මාර්ගෝපදේශ සකස් කිරීම, මූල්‍ය පාලන ලේඛන සකස් කිරීම, පෙර පාසල් කළමනාකරණය අධීක්ෂණය කිරීම.</t>
  </si>
  <si>
    <t>සෑම පෙර පාසලක් සඳහාම ආකෘති, පොත් සහ මාර්ගෝපදේශ මුද්‍රණය කිරීම.</t>
  </si>
  <si>
    <t>ආකෘති, වාර්තා පොත් සහ ක්‍රියාත්මක කිරීමේ මාර්ගෝපදේශ පිළිබඳව සාමාජිකයින් සහ ECD නිලධාරීන් සඳහා ධාරිතා වර්ධනය කිරිම</t>
  </si>
  <si>
    <t>පළාත් ප්‍රඥප්ති, ප්‍රමිති සහ ජාතික ප්‍රතිපත්ති සඳහා නීති රීති සංවර්ධනය කිරීම.</t>
  </si>
  <si>
    <t>මුල් ළමාවිය සංවර්ධන අධිකාරිය</t>
  </si>
  <si>
    <t>විජය පෙර පාසල සදහා සෙල්ලම් මිදුල උපකරණ ලබා දීම</t>
  </si>
  <si>
    <t>දීප්ති පෙර පාසල සදහා සෙල්ලම් මිදුල උපකරණ ලබා දීම</t>
  </si>
  <si>
    <t>දිමුතු පෙර පාසල සදහා සෙල්ලම් මිදුල උපකරණ ලබා දීම</t>
  </si>
  <si>
    <t>ලහිරු ලියොන් සිං පෙර පාසල සදහා විදුලිය ලබා දීම</t>
  </si>
  <si>
    <t>සිගිති පෙර පාසල සදහා විදුලිය ලබා දීම</t>
  </si>
  <si>
    <t>පිවිතුරු පෙර පාසල සදහා විදුලිය ලබා දීම</t>
  </si>
  <si>
    <t>ධර්ම නිකේතන පෙර පාසලට ලි බඩු උපකරණ ලබා දීම</t>
  </si>
  <si>
    <t>ලක්ෂ්මි පෙර පාසලට ලි බඩු උපකරණ ලබා දීම</t>
  </si>
  <si>
    <t>මහසෙන්  පෙර පාසලට ලි බඩු උපකරණ ලබා දීම</t>
  </si>
  <si>
    <t>ලේක් හවුස්  පෙර පාසලට ලි බඩු උපකරණ ලබා දීම</t>
  </si>
  <si>
    <t>ජයරාජ පෙර පාසලට ලි බඩු උපකරණ ලබා දීම</t>
  </si>
  <si>
    <t>තක්ෂිලා  පෙර පාසලට ලි බඩු උපකරණ ලබා දීම</t>
  </si>
  <si>
    <t>බුද්ධි පෙර පාසලට ලි බඩු උපකරණ ලබා දීම</t>
  </si>
  <si>
    <t>ශ්‍රි ආලෝකා පෙර පාසලට ලි බඩු උපකරණ ලබා දීම</t>
  </si>
  <si>
    <t>කැකුළු පෙර පාසලට ලි බඩු උපකරණ ලබා දීම</t>
  </si>
  <si>
    <t>ස්වරණ කැකුළු පෙර පාසලට ලි බඩු උපකරණ ලබා දීම</t>
  </si>
  <si>
    <t>සමගි උයන පෙර පාසලට ලි බඩු උපකරණ ලබා දීම</t>
  </si>
  <si>
    <t>ජයබිම පෙර පාසලට ලි බඩු උපකරණ ලබා දීම</t>
  </si>
  <si>
    <t>සිඟිති පෙර පාසලට ලි බඩු උපකරණ ලබා දීම</t>
  </si>
  <si>
    <t>සමඟි ළදරු උයන පෙර පාසලට ලි බඩු උපකරණ ලබා දීම</t>
  </si>
  <si>
    <t>තක්ෂිලා  පෙර පාසල සඳහා ජල පහසුකම් ලබා දීම</t>
  </si>
  <si>
    <t>සිඟිති පෙර පාසල සදහා ජල පහසුකම් ලබා දීම</t>
  </si>
  <si>
    <t>පිපෙන කුසුම් පෙර පාසල සදහා ජල පහසුකම් ලබා දීම</t>
  </si>
  <si>
    <t>දහම් සිඟිති  පෙර පාසල සදහා ජල පහසුකම් ලබා දීම</t>
  </si>
  <si>
    <t>සමාධි පෙර පාසලේ වැසිකිලිය ඉදි කිරිම</t>
  </si>
  <si>
    <t>වනමල් පෙර පාසලේ වැසිකිලිය ඉදි කිරිම</t>
  </si>
  <si>
    <t>දිමුතු පෙර පාසලේ වැසිකිලිය ඉදි කිරිම</t>
  </si>
  <si>
    <t>මල් කැකුළු පෙර පාසලේ වැසිකිලිය ඉදි කිරිම</t>
  </si>
  <si>
    <t xml:space="preserve"> කැකුළු පෙර පාසලේ වැසිකිලිය ඉදි කිරිම</t>
  </si>
  <si>
    <t>දිලෙන තරු පෙර පාසලේ වැසිකිලිය ඉදි කිරිම</t>
  </si>
  <si>
    <t>නව හිරු පෙර පාසලේ වැසිකිලිය ඉදි කිරිම</t>
  </si>
  <si>
    <t>බුද්ධි  පෙර පාසලේ වැසිකිලිය ඉදි කිරිම</t>
  </si>
  <si>
    <t>බුබුල ජල රක්ෂිතය කොන්ක්‍රිට් කණු සිටුවා කම්බි ඇද සංරක්ෂනය කිරිම</t>
  </si>
  <si>
    <t>කුටිටියබැද්ද ජල රක්ෂිතය කොන්ක්‍රිට් කණු සිටුවා කම්බි ඇද සංරක්ෂනය කිරිම</t>
  </si>
  <si>
    <t>මුල්ලේගම, ගැටවලයාය විදුලි  දිගුව</t>
  </si>
  <si>
    <t>දැලිව, වෙලංගස්මඩ - තෙලබෝආර විදුලි  දිගුව</t>
  </si>
  <si>
    <t>නාමල්ඔය ජනපදය, පොල්ගස්ලන්ද විදුලි  දිගුව</t>
  </si>
  <si>
    <t>ඇල්පිටිය, ඇල්පිටිය ඇල්හේන විදුලි  දිගුව</t>
  </si>
  <si>
    <t>නීලවබැද්ද, නාගහමඩ කළුගොල්ල විදුලි  දිගුව</t>
  </si>
  <si>
    <t>ඇල්ලේකෝන, ලින්ඩා අරවා ඇහැලගහ අරව විදුලි  දිගුව</t>
  </si>
  <si>
    <t xml:space="preserve"> හද්දඹුවාව ජල ටැංකියේ සිට බොකගොන්න , බණ්ඩිගොඩ විදුලි  දිගුව</t>
  </si>
  <si>
    <t xml:space="preserve">කොටගම, දමුණුලන්ද කපුකැලේගොඩ විදුලි  දිගුව </t>
  </si>
  <si>
    <t>මුදියල, කොබ්බෑගොල්ල විදුලි  දිගුව</t>
  </si>
  <si>
    <t>තානායම්ගම, අලනාරවත්ත සිට පොල්වත්ත දක්වා විදුලි  දිගුව</t>
  </si>
  <si>
    <t>බුළුපිටිය, දමුණුවින්න හන්දියේ සිට බෝවැල්ල  දක්වා විදුලි  දිගුව</t>
  </si>
  <si>
    <t>තොටිල්ලකැටිය, කුඹුකන්දෙණිය හන්දියේ සිට තොටිල්ලකැටිය දක්වා විදුලි  දිගුව</t>
  </si>
  <si>
    <t>කරගහවෙල-බටහිර, කරගහවෙල - මිරිස්ලන්ද විදුලි  දිගුව</t>
  </si>
  <si>
    <t xml:space="preserve"> වන්දම විදුලි  දිගුව</t>
  </si>
  <si>
    <t>හම්බෙගමුව, රතඹලාගම විදුලි  දිගුව</t>
  </si>
  <si>
    <t>තණමල්විල, නෙරළුවගම විදුලි  දිගුව</t>
  </si>
  <si>
    <t xml:space="preserve">කර්මාන්ත දියුණු කිරිම සඳහා ප්‍රතිලාභි අවශ්‍යතා මත ග්‍රාමීය ප්‍රදේශ සඳහා තෙකලා ව්‍යාප්තිය </t>
  </si>
  <si>
    <t>60%-40% අඩු අදායම් ලභීන් සඳහා විදුලි පහසුකම් ලබා දීම</t>
  </si>
  <si>
    <t>ඌව පළාත් කෘෂිකර්ම, වාරිමාර්ග, සත්ව නිෂ්පාදන ... අමා.</t>
  </si>
  <si>
    <t>මහ දමන, හොරගස්වත්ත කෘෂි මාර්ගය වැඩිදියුණු කිරීම</t>
  </si>
  <si>
    <t xml:space="preserve"> පිටියවත්ත, පොල්ගහවෙල කෘෂි මාර්ගය වැඩිදියුණු කිරීම</t>
  </si>
  <si>
    <t>මුගුණුගහ අරාව කෘෂි මාර්ගය වැඩිදියුණු කිරීම</t>
  </si>
  <si>
    <t>කරගහවෙල මහවෙල කෘෂි මාර්ගය වැඩිදියුණු කිරීම</t>
  </si>
  <si>
    <t>හම්බේගමුව පහළගොඩ කෘෂි මාර්ගය වැඩිදියුණු කිරීම</t>
  </si>
  <si>
    <t>ශෙල්ටන් මහතාගේ නිවස අසල සිට තෙලබෝගල දක්වා ඇති අතුරු මාර්ගය සංවර්ධනය කිරීම</t>
  </si>
  <si>
    <t>වලගොඩ වෙළඳසැල ඉදිරිපිට තුණමුණ පාර සංවර්ධනය කිරීම</t>
  </si>
  <si>
    <t>ජයසෙන්ගම සිට මැතිවරණ නිවාස 30 මාර්ගය සංවර්ධනය කිරීම</t>
  </si>
  <si>
    <t>දෙහිවැල්ලන්ද මාර්ගය සංවර්ධනය කිරීම</t>
  </si>
  <si>
    <t>සංඝමිත්තා ආරාමය අසල පිහිටි අංක 30 නිවස අසලින් ඇල දක්වා ඇති මාර්ගය සංවර්ධනය කිරීම</t>
  </si>
  <si>
    <t>කුකුරුමංගොඩ මාර්ගය සංවර්ධනය කිරීම</t>
  </si>
  <si>
    <t>කරපිංචාගලයාය මාර්ගය සංවර්ධනය කිරීම</t>
  </si>
  <si>
    <t>දෙහිකිඳගම පාසල් මාර්ගය සංවර්ධනය කිරීම</t>
  </si>
  <si>
    <t>සමගිපුර මාර්ගය ඉන්දු මහතාගේ නිවස ඉදිරිපිට කොටස සහ වික්‍රම මයාගේ නිවස ඉදිරිපිට සංවර්ධනය කිරීම</t>
  </si>
  <si>
    <t>තිස්සපාර 3 වන පටුමඟ මාර්ගය සංවර්ධනය කිරීම</t>
  </si>
  <si>
    <t>කන්ද උඩපංගුව නිවස අසල සිට ඩී.සී.3 ඇළ දක්වා මාර්ගය සංවර්ධනය කිරීම</t>
  </si>
  <si>
    <t>බී 5 මාර්ගය සංවර්ධනය කිරීම</t>
  </si>
  <si>
    <t>කොන්ක්‍රීට් මාර්ගයේ සිට පැරකුම්පුර ගම මාර්ගය කොන්ක්‍රීට් කිරීම.</t>
  </si>
  <si>
    <t>පාසල අසලින් කලගහ ඇල්ල දක්වා වු මාර්ගය සංවර්ධනය කිරීම.</t>
  </si>
  <si>
    <t>මූකලන්යාය ,අතුරු මාර්ගය සංවර්ධනය කිරීම</t>
  </si>
  <si>
    <t>බිබිලේයාය පිවිසුම් මාර්ගය බිබිලේයාය ගම්මානය දක්වා සංවර්ධනය කිරීම.</t>
  </si>
  <si>
    <t>කිරමනාබෙරලිය කරඳගොල්ල මාර්ගය සංවර්ධනය කිරීම.</t>
  </si>
  <si>
    <t>ගල් කොරිය මාර්ගය සංවර්ධනය කිරීම</t>
  </si>
  <si>
    <t>ඇඳගලයාය ප්‍රධාන මාර්ගය සංවර්ධනය කිරීම.</t>
  </si>
  <si>
    <t>අම්පාර ප්‍රධාන මාර්ගයේ 3 කණුව සමන් මහතාගේ නිවස අසලින් යක්කඳුරාව ග්‍රාමයට පිවිසෙන අතුරු මාර්ගයේ දෙවන බෝක්කුව සංවර්ධනය කිරීම</t>
  </si>
  <si>
    <t>ඕස්ට්‍රේලියන් මාර්ගය සංවර්ධනය කිරීම</t>
  </si>
  <si>
    <t>තලාගංගොඩ අන්දායම්පොල මාර්ගය  සංවර්ධනය කිරීම</t>
  </si>
  <si>
    <t>කපුකොටුව මාර්ගය සංවර්ධනය කිරිම</t>
  </si>
  <si>
    <t>සංස්කෘතික මධ්‍යස්ථානය පිහිටි මාර්ගය සියඹලාණ්ඩුව මායිම දක්වා සංවර්ධනය කිරීම</t>
  </si>
  <si>
    <t>60 කොටස එම්.ආර් නිශාන් කැළුම් මහතාගේ නිවස අසල සිට උක්කුබණ්ඩා මහතාගේ නිවස දක්වා වූ මාර්ගය කොන්ක්‍රීට් කිරීම.</t>
  </si>
  <si>
    <t>කොටියාගල කම්මල්යාය මාර්ගය සංවර්ධනය කිරීම</t>
  </si>
  <si>
    <t>මයුරාගම ජල ටැංකිය අතුරු මාර්ගය  සංවර්ධනය කිරීම</t>
  </si>
  <si>
    <t>හෙරලියවත්ත බලබැද්ද මාර්ගය සංවර්ධනය කිරීම.</t>
  </si>
  <si>
    <t>පොල් කොටන් අරාව පරදිස්ආර පාර සංවර්ධනය කිරීම</t>
  </si>
  <si>
    <t>කිවුලපිටලන්ද පොදු සුසාන භූමිය මාර්ගය  කොන්ක්‍රීට් යොදා සංවර්ධනය කිරීම</t>
  </si>
  <si>
    <t>හැමගස්මුල්ල පහළ මාර්ගය කොන්ක්‍රීට් යොදා සංවර්ධනය කිරීම</t>
  </si>
  <si>
    <t xml:space="preserve">කොලොන්අතුමුල්ල බල්ලාගල ග්‍රාමීය මාර්ගය කොන්ක්‍රීට් යොදා සංවර්ධනය කිරීම (අම්පාර දක්වා ගමන් කල හැකි කෙටි මාර්ගය </t>
  </si>
  <si>
    <t>දැවකැටිය ග්‍රාමයේ බුදුමැදුර අසල සිට මඩුලන්ද හංදිය දක්වා මාර්ගය කොන්ක්‍රීට් යොදා සංවර්ධනය කිරීම</t>
  </si>
  <si>
    <t>ගල්වලේලන්ද මාර්ගයේ බුදු මැදුර ළගින් වම්  පැත්තට ඇති මාර්ගය කොන්ක්‍රීට් යොදා සංවර්ධනය කිරීම</t>
  </si>
  <si>
    <t>බුරුතඅත්තාදෙන මඩුකොටන්මුල්ල මාර්ගය කොන්ක්‍රීට් යොදා සංවර්ධනය කිරීම</t>
  </si>
  <si>
    <t xml:space="preserve">තඹලකැටිය මාර්ගය කොන්ක්‍රීට් යොදා සංවර්ධනය කිරීම </t>
  </si>
  <si>
    <t>දොඩම්ගොල්ල පාසල් හංදියේ සිට නාගල පාසල් හංදිය දක්වා දිවෙන මාර්ගයේ හබ්බුන්නාකදුර ඉදිරියේ ඇති මංසන්දියේ සිට හෙට්ටිපොළ වැව දක්වා ඇති මාර්ගය කොන්ක්‍රීට් යොදා සංවර්ධනය කිරීම</t>
  </si>
  <si>
    <t xml:space="preserve">දඹගහකුඹුර මාර්ගය කොන්ක්‍රීට් යොදා සංවර්ධනය කිරීම </t>
  </si>
  <si>
    <t>කොටගම - බුරුතඅත්තාගොඩ මාර්ගය කොන්ක්‍රීට් යොදා සංවර්ධනය කිරීම</t>
  </si>
  <si>
    <t>කණුල්වෙල සර්වෝදය අතුරු මාර්ගය කොන්ක්‍රීට් යොදා සංවර්ධනය කිරීම</t>
  </si>
  <si>
    <t>ගලහවත්ත සිට මුං වත්ත දක්වා මාර්ගය කොන්ක්‍රීට් යොදා සංවර්ධනය කිරීම</t>
  </si>
  <si>
    <t>හෑපොල වෙලමැද මාර්ගය  7 කණුවේ සිට කිරිමැට්ය දක්වා මාර්ගය කොන්ක්‍රීට් යොදා සංවර්ධනය කිරීම</t>
  </si>
  <si>
    <t xml:space="preserve">ගොඩපිටලන්ද මාර්ගය කොන්ක්‍රීට් යොදා සංවර්ධනය කිරීම </t>
  </si>
  <si>
    <t xml:space="preserve">ඊතනවත්ත ඉදිලන්ද මාර්ගය බෝධිය අසළ කොටස කොන්ක්‍රීට් යොදා සංවර්ධනය කිරීම </t>
  </si>
  <si>
    <t xml:space="preserve">දික්ගොම්මන කහටගහඅරාව  මාර්ගය කොන්ක්‍රීට් යොදා සංවර්ධනය කිරීම </t>
  </si>
  <si>
    <t>සල්ගස් හංදිය සිට සුසාන භුමිය දක්වා මාර්ගය සංවර්ධනය කිරීම</t>
  </si>
  <si>
    <t>කැන්දවින්න ඇහැලගහවාඩිය මාර්ගය සංවර්ධනය කිරීම</t>
  </si>
  <si>
    <t>තිත්තවැල්කිවුල තාරාපොල මාර්ගය සංවර්ධනය කිරීම</t>
  </si>
  <si>
    <t>සේනාපතිය මහබුරුතයාය මාර්ගය සංවර්ධනය කිරීම</t>
  </si>
  <si>
    <t>07 කණුව පහළ නුගාමුර මාර්ගය සංවර්ධනය කිරීම</t>
  </si>
  <si>
    <t>5 කනුව ගුරුගම්මානයේ සිට ලිඳමුල්ල මාර්ගය වැව පාර දක්වා මාර්ගය සංවර්ධනය කිරීම</t>
  </si>
  <si>
    <t>කෝන්ගොල්ල  යාය ගම්මානය මාර්ගය සංවර්ධනය කිරීම</t>
  </si>
  <si>
    <t>තිඹිරිය කලගොල්ල මාර්ගය සංවර්ධනය කිරීම</t>
  </si>
  <si>
    <t>බුදුමැඳුර අසල සිට ලිහිණියාගාල මාර්ගය සංවර්ධනය කිරීම</t>
  </si>
  <si>
    <t>බෝගහවෙල මඩුතැන්න මාර්ගය සංවර්ධනය කිරීම</t>
  </si>
  <si>
    <t>දිඹියගස්ආර පල්ලිය පාර හා ප්‍රජාශාලාව පාර සම්බන්ධ කරන අතුරු මාර්ගය සංවර්ධනය කිරීම</t>
  </si>
  <si>
    <t>හොරගොල්ල අම්පිටිය මාර්ගය සංවර්ධනය කිරීම</t>
  </si>
  <si>
    <t>අළුත්වෙල කොටබෝව අතුරු මාර්ගය සංවර්ධනය කිරීම</t>
  </si>
  <si>
    <t>10 කණුව මුස්ලිම් පෙරපාසල ලඟ වටරවුම්  මාර්ගය සංවර්ධනය කිරීම</t>
  </si>
  <si>
    <t>ඇල්පිටිය මාර්ගය සංවර්ධනය කිරීම</t>
  </si>
  <si>
    <t>කොරටිය ප්‍රධාන මාර්ගයේ සිට දඹඔය දක්වා මාර්ගය සංවර්ධනය කිරීම</t>
  </si>
  <si>
    <t>කොළොන්ලන්ද පුවක්වත්ත අතුරු මාර්ගය සංවර්ධනය කිරීම</t>
  </si>
  <si>
    <t>දමුණුකැටිය ප්‍රධාන මාර්ගය සංවර්ධනය කිරීම</t>
  </si>
  <si>
    <t>අල්පිටිය ඇල්හේන මාර්ගය සංවර්ධනය කිරීම</t>
  </si>
  <si>
    <t>සද්දම්ගම මාර්ගය සංවර්ධනය කිරීම</t>
  </si>
  <si>
    <t>අලයාය හැවැන්අරාව මාර්ගය සංවර්ධනය කිරීම</t>
  </si>
  <si>
    <t>ඒදුනුකඳපිටිය මාර්ගය සංවර්ධනය කිරීම</t>
  </si>
  <si>
    <t>මිරිස්වැල්ගම මාර්ගය සංවර්ධනය කිරීම</t>
  </si>
  <si>
    <t>සියඹලාගස්ලන්ද මාර්ගය සංවර්ධනය කිරීම</t>
  </si>
  <si>
    <t>බොරගොඩ කුරුදුගල මාර්ගය සංවර්ධනය කිරීම</t>
  </si>
  <si>
    <t>උසාවි මාර්ගය සංවර්ධනය කිරීම</t>
  </si>
  <si>
    <t>තැරෑල පන්සල මාර්ගය සංවර්ධනය කිරීම</t>
  </si>
  <si>
    <t>නිල්ගලවත්ත මාර්ගය සංවර්ධනය කිරීම</t>
  </si>
  <si>
    <t>දිගන මැදරොද මාර්ගය සංවර්ධනය කිරීම</t>
  </si>
  <si>
    <t>හිජ්රා මාවත සංවර්ධනය කිරීම</t>
  </si>
  <si>
    <t>අක්කර 50 පොදු ළිඳ අසල සිට වැලිමඩයාය ගම්මානය දක්වා මාර්ගය සංවර්ධන කිරීම</t>
  </si>
  <si>
    <t>බුත්තල මුංකොටුව ජයරත්න මහතාගේ වෙළඳසැල අසලින් ආරම්භ වන මාර්ගය සංවර්ධනය කිරීම</t>
  </si>
  <si>
    <t>තේ කඩේ සිට බුරුතගොල්ල වසමේ සීමාව දක්වා ඇති මාර්ගය සංවර්ධනය කිරීම</t>
  </si>
  <si>
    <t>ජනාවාස 04 රජයේ කොටස ඩී.එල්.දිනේෂ් ප්‍රියංකර රුවන් කුමාර මහතාගේ නිවස අසල සිට කුමාරගම විද්‍යාලය දක්වා මාර්ගය සංවර්ධනය කිරීම</t>
  </si>
  <si>
    <t>ගෝනගංආර සුසාන භූමිය පාර (21 කණුව) බෝක්කු සහිතව සංවර්ධනය කිරීම</t>
  </si>
  <si>
    <t>වැලිවේරියවත්ත මාර්ගයේ ආරම්භයේ සිට සංවර්ධනය කිරීම</t>
  </si>
  <si>
    <t>පැල්වත්ත කුඩාඔය පරණපාලම අසල සිට විජය මාර්ගය දක්වා ගමන් කරන මාර්ගය සංවර්ධනය කිරීම</t>
  </si>
  <si>
    <t>ගල්ගොඩයාය පාරේ කාණු පද්ධතිය සකස් කර මාර්ගය සංවර්ධනය කිරීම</t>
  </si>
  <si>
    <t>අපරැක්ක හාල්මෝල අසල සිට මැද පාර සංවර්ධනය කිරීම.</t>
  </si>
  <si>
    <t>පින්තාලි හන්දියේ සිට ප්‍රියන්ත මහතාගේ නිවස දක්වා මාර්ගය සංවර්ධනය කිරීම</t>
  </si>
  <si>
    <t>මැදගල සමූපකාර පාර ඩී.ටී. අබේරත්න මහතාගේ නිවස අසල සිට ඉදිරියට කොන්ක්‍රීට් කිරීම</t>
  </si>
  <si>
    <t>බලහරුව දේවාල පාර - පැරණි කොන්ක්‍රීට් එක අවසානයේ සිට ඉදිරියට (වටගල දෙසට)කොන්ක්‍රීට් කිරීම</t>
  </si>
  <si>
    <t>මානෙල්ගල පන්සල අසලින්  වැව දෙසට යන පාර - ජී.සුගතපාල මහතාගේ නිවස අසල සිට වැව දෙසට කොන්ක්‍රීට් කිරීම</t>
  </si>
  <si>
    <t xml:space="preserve"> ප්‍රියා සූරිසේන කඩේ අසල සිට සුසාන භූමිය දක්වා ඇති මාර්ගයේ ඇති ආර අසල සිට ඉදිරියට කොන්ක්‍රීට් කිරීම</t>
  </si>
  <si>
    <t>බෝගහ මාර්ගය කොන්ක්‍රීට් කිරීම - බුදු මැදුර අසල සිට ඉදිරියට කොන්ක්‍රීට් කිරීම</t>
  </si>
  <si>
    <t>කනත්ත පාර -  බෝක්කුව අසල සිට දකුණු මහතැන්න දෙසට කොන්ක්‍රීට් කිරීම</t>
  </si>
  <si>
    <t>කනත්ත පාර අතුරු   මාර්ගය ඉදිරියට කොන්ක්‍රීට් කිරීම</t>
  </si>
  <si>
    <t>මිද්දෙණිය කඩේ පාර - ප්‍රධාන මාර්ගය අසල සිට ඉදිරියට සංවර්ධනය කිරීම</t>
  </si>
  <si>
    <t>ප්‍රාර්ථනා මාර්ගය කොන්ක්‍රීට් කිරීම - ප්‍රධාන මාර්ගයේ සිට ඉදිරියට</t>
  </si>
  <si>
    <t>ඇල්ලෙ ගෙදර පාර - එම්.ජී. වන්ද්‍රතිලකා මහත්මියගේ නිවස අසල සිට ඉදිරියට කොන්ක්‍රීට් කිරීම</t>
  </si>
  <si>
    <t>එල් 86 ගඟ පාර - පළවන කෝසුව අසල සිට ඉදිරියට කොන්ක්‍රීට් කිරීම</t>
  </si>
  <si>
    <t>විජයපුර වතුර ටැංකිය මාර්ගයෙහි මහේෂ් බුද්ධික මහතාගේ නිවස අසල සිට 23 ජනපදයෙහි එම් .බී දයානන්ද මහතාගේ නිවස දක්වා</t>
  </si>
  <si>
    <t xml:space="preserve">ඇදගල ආරණය ගම්මානය දෙසට යන මාර්ගය සංවර්ධනය කිරීම </t>
  </si>
  <si>
    <t>උස්ගල සමෘද්ධි මාවත මාර්ගය කේ.ගාමිණි මහතාගේ ඉඩම දක්වා</t>
  </si>
  <si>
    <t>19 කණුව සිට නිකවැව දෙමෝදර හන්දිය දක්වා ඇති මාර්ගයේ ගල්වලයාය වෙල්යාය අසල මාර්ගය කොන්ක්‍රිට් කිරීම</t>
  </si>
  <si>
    <t>ගල්වල මාර්ගය ඉතිරි කොටස  බෝක්කු සහිතව සංවර්ධනය කිරීම</t>
  </si>
  <si>
    <t>රංවැලිගම පොළ අසල සිට පවුල් සෞඛ්‍ය නිලධාරී කාර්යාලය දක්වා මාර්ගය සංවර්ධනය කිරීම</t>
  </si>
  <si>
    <t>දයානන්ද මහතාගේ නිවස අසල සිට උපසේන කඩේ අසල පාලම දක්වා මාර්ගය කොන්ක්‍රීට් අතුරා  සංවර්ධනය කිරිම</t>
  </si>
  <si>
    <t>නෙළුම්වැව අරුණ මහතාගේ නිවස අසලින් ගල් අමුණ ඇල දක්වා දිවෙන මාර්ගය සංවර්ධනය කිරීම</t>
  </si>
  <si>
    <t>කුමාරපුර ප්‍රජාශාලාව අසල සිට පන්සල දක්වා දිවෙන පන්සල් පිවිසුම් මාර්ගය සංවර්ධනය කිරීම</t>
  </si>
  <si>
    <t>පන්සල (ශ්‍රී මංගල බෝධි විහාරය) අසල සිට බණ්ඩාර කඩය දක්වා ඇති මාර්ගය කොන්ක්‍රීට් කිරීම</t>
  </si>
  <si>
    <t>ඩිපෝව මාර්ගයේ රන්සිරි රෙස්ට් ඉදිරිපිට අතුරු මාර්ගය කොන්ක්‍රීට් කිරීම</t>
  </si>
  <si>
    <t>බොරළුවල සූසාන භූමිය මාර්ගය කොන්ක්‍රීට් කිරීම</t>
  </si>
  <si>
    <t>සමාජ සවිබලගැන්විම අමාත්‍යාංශයෙන්  ප්‍රා.ලේ.කාර්යාලයක් සඳහා මිලියන 10ක් ලබා දේ.</t>
  </si>
  <si>
    <t>ඩබ්.රංජන් මහතාගේ නිවස අසල සිට ප්‍රධාන ඇළ මාර්ගය දක්වා කොන්ක්‍රීට් යොදා සංවර්ධනය කිරීම</t>
  </si>
  <si>
    <t>පතිගලන්ද ඇල 3 වන පියවර ඉදිකිරිම</t>
  </si>
  <si>
    <t>තණමල්විල නෙළුම් වැව ඇල සංවර්ධනය කිරිම</t>
  </si>
  <si>
    <t>බතලආර වැව සංවර්ධනය කිරිම</t>
  </si>
  <si>
    <t>අරන් අමුණෙහි ප්‍රධාන ඇල සංවර්ධනය කිරිම</t>
  </si>
  <si>
    <t>උඩවෙල අමුණෙහි ඇළ මාර්ග පද්ධතිය ප්‍රතිසංස්කරණය කිරිම</t>
  </si>
  <si>
    <t>තණමල්විල නිකවැව ප්‍රතිසංස්කරණය කිරිම</t>
  </si>
  <si>
    <t>පිහිල්ලවල සහ හැකිල්ලකැටිය වෙල්යායෙහි ඇල මාර්ග ප්‍රතිසංස්කරණය කිරිම</t>
  </si>
  <si>
    <t>යකුන්නාව වැව ප්‍රතිසංස්කරණය කිරිම</t>
  </si>
  <si>
    <t>රණවරාපැලැස්ස වැව ප්‍රතිසංස්කරණය කිරිම</t>
  </si>
  <si>
    <t>ඇලන්ආරාව ඇල ප්‍රතිසංස්කරණය කිරිම</t>
  </si>
  <si>
    <t>වට්ටාරම 2 වැව ඇල මාර්ගය සංවර්ධනය කිරිම</t>
  </si>
  <si>
    <t>රැප්පේබැද්ද අමුණ සංවර්ධනය කිරිම</t>
  </si>
  <si>
    <t>මකුළු වැව ප්‍රතිසංස්කරණය කිරිම</t>
  </si>
  <si>
    <t>පලුගස්ආර වම් අමුණ ඇළ ඉදිකිරිම</t>
  </si>
  <si>
    <t>කිවුල්දියආර අමුණ හා ඇල ඉදිකිරිම</t>
  </si>
  <si>
    <t>රෑනගහපිටිය මාර්ගයේ ඩී.එම්. හීංබණ්ඩා මහතාගේ නිවස අසල බෝක්කුව සංවර්ධනය කිරීම.</t>
  </si>
  <si>
    <t>වැව මාර්ගයේ පළමු බෝක්කුව සංවර්ධනය කිරීම.</t>
  </si>
  <si>
    <t>අම්පාර පාර 07 කණුව ටී.එම්. උක්කු බණ්ඩා මහතාගේ නිවස අසල බෝක්කුව සංවර්ධනය කිරීම.</t>
  </si>
  <si>
    <t>සුරියතලාව මාර්ගයේ මොන්ටිසෝරිය අසල බෝක්කුව ප්‍රතිසංස්කරණය කිරීම.</t>
  </si>
  <si>
    <t>කුණුවල මාර්ගයේ බෝක්කුව ප්‍රතිසංස්කරණය කිරීම.</t>
  </si>
  <si>
    <t>කොටේළිඳන් පිටිය කරාන මාර්ගයේ දකිනේ ගහ අසල බෝක්කුව ප්‍රතිසංස්කරණය කිරීම.</t>
  </si>
  <si>
    <t>කැලගස්ආර මාර්ගයේ වැලි කෝසුව ඉදිකිරීම.</t>
  </si>
  <si>
    <t>වජිර පාරේ පැති බැමි දෙක ඉදිකිරීම</t>
  </si>
  <si>
    <t>විමධ්‍යගත</t>
  </si>
  <si>
    <t>පිහීළිමාන අමුණේ රැවුල්හින්න කොටසේ ඇල මාර්ගය ප්‍රතිසංස්කරණය කිරීම.</t>
  </si>
  <si>
    <t>මහවෙල  කුඹුරු යායට ගමන් කරනු ලබන මාර්ගයේ වැලි බෝක්කුව ඉදිකිරීම.</t>
  </si>
  <si>
    <t>ඩෝසර්වාඩිය මාර්ගයේ ඉනෝකා මහත්මියගේ නිවස අසල බෝක්කුව ඉදිකිරීම.</t>
  </si>
  <si>
    <t>ගල්කඩඅරාව අමුණේ වම් ඇල ප්‍රතිසංස්කරණය කිරීම.</t>
  </si>
  <si>
    <t>වෙහෙරගල පාසල අසල සිට තෙනගල්ලන්ද බැරල් හන්දිය දක්වා ජල නල එළිම පිණිස කානු පද්ධතිය සකස් කිරීම.</t>
  </si>
  <si>
    <t>බිබිල ප්‍රාදේශීය සභාවට අයත්, බිබිල ග්‍රාම නිලධාරි වසම තුල පිහිටි විශාලත්වයෙන් පර්චස් හැටක් වූ ඉඩම තුල ධාන්‍ය වියළීම සඳහා කොන්ක්‍රීට් කමතක් ඉදිකිරීම. (ගම්මිරිස්, වී, බඩඉරිගු)</t>
  </si>
  <si>
    <t>වෑගම උතුර කාන්තා සමිතියට කුඩා පරිමාණ ඇඟලුම් කර්මාන්තශාලාවක් ආරම්භ කිරීම සඳහා අවශ්‍ය යන්ත්‍ර සහඋපකරණ ලබා දීම.</t>
  </si>
  <si>
    <t>යකුන්නාව ප්‍රතිභා කාන්තා සමිතිය මඟින් පවත්වාගෙන යන බිම්මල් ව්‍යාපෘතියට අවශ්‍යකරන යන්ත්‍ර සූත්‍ර ලබාදීම</t>
  </si>
  <si>
    <t>කොවුල්ආර දකුණ ග්‍රාම සංවර්ධන සමිතිය මඟින් ඉදිකර ඇති කෘෂි බෝග එකතු කිරිමේ හා වියළිම් මධ්‍යස්ථානයේ ඉතිරි වැඩ නිම කිරිම</t>
  </si>
  <si>
    <t>කතරගම ගෙස්ටුපාන වැව මිරිදිය ධීවර කමිටුව සඳහා සෝලා පවර් මඟින් වැඩ කරන සංචාරක බෝට්ටුවක් ලබාදිම</t>
  </si>
  <si>
    <t>දඹගල්ල මාගන්දන ග්‍රාමීය සංවිධානයේ පානීය ජල සැපයුම සඳහා අලුතින් ඉදිකර ඇති නල ළිඳට වතුර මෝටරයක් හා පොම්පය,පැනල් බෝඩ් උපාංග සැපයිම</t>
  </si>
  <si>
    <t>මහකළුගොල්ල තැරෑලවැව පිවිසුම් කෘෂිමාර්ගය සංවර්ධනය කිරිම</t>
  </si>
  <si>
    <t>ගොරඩිය- අලිකොටේ අමුණ සංවර්ධනය කිරීම</t>
  </si>
  <si>
    <t>වෙලන්හින්න ගම්මානයේ ප්‍රධාන මාර්ගයේ සිට ජේ.ඒම් තිලකරන්න මහතාගේ නිවස අසලින් යන අතුරු මාර්ගයේ අජිත් ප්‍රියන්ත මහතාගේ නිවස අසල ආරට  බෝක්කුවක් ඉදිකිරීම</t>
  </si>
  <si>
    <t>දෙහිගස්ලන්ද වැවට අයත් ප්‍රධාන ඇල මාර්ගයේ පි.එම් රත්නායක මයාගේ හා ඩි.එම සීලවති මිය යන අයගේ කුඹුරු අතරින් යන අතුරු ඇල කොන්ක්‍රිට් කිරීම</t>
  </si>
  <si>
    <t>ටැංවත්ත දෙහිකිදගම පාසල් මාවතේ පාසල පසුකර ඉදිරියට මීටර් 500 පමන ගිය තැන කුමාර මහතාගේ නිවස අසලින් වම්පසට යන අතුරු මාර්ගය කොන්ක්‍රිට් යොදා සංවර්ධනය කිරීම</t>
  </si>
  <si>
    <t>කරවිල වැව ගොඩදොර ඇලෙන් පෝෂනය වන කුඹුරුයායේ වැඩි ජලය බැසයාමට ඉදිකර ඇති අතුරු ඇල මාර්ගය මිටර් 150 පමණ කොන්ක්‍රිට් කර සංවර්ධනය කිරීම.</t>
  </si>
  <si>
    <t>සෙල්ලකතරගම සිට කිරිවෙහෙරට යන මාර්ගයේ අක්කර 20 ගම්මානය මැදින් ඩෝසර් වැවට යන අතුරු මාර්ගයට  කිලෝමිටර් 01 පමණ මොටර් ග්‍රෙඩර් ග්‍රවැල් අතුරා සංවර්ධනය කිරීම</t>
  </si>
  <si>
    <t>ගල්ටැම්මණ්ඩිය - රත්නපුර නිවස අසලින් ආරම්භ වන ප්‍රගති මාවත අතුරුමාර්ගය සංවර්ධනය කිරීම.</t>
  </si>
  <si>
    <t>මයිලගම කොට්ඨාසයේ ගොවි සමිති 05ක් සඳහා තෙල් ඉසින යන්ත්‍ර ලබාදිම</t>
  </si>
  <si>
    <t>කතරගම වසම ගොවි සමිති 03ක් සඳහා තෙල් ඉසින යන්ත්‍ර ලබාදිම</t>
  </si>
  <si>
    <t>කරවිලේ කොට්ඨාසය ධීවර සමිති සඳහා මත්ස්‍ය පැටවු ලබාදිම</t>
  </si>
  <si>
    <t xml:space="preserve"> සුහද මාවතේ බෝක්කුව අලුත්වැඩියා කිරිම</t>
  </si>
  <si>
    <t xml:space="preserve"> සිඟිති දිවිහුරු නිවස පෙර පාසලේ ආරක්ෂිත වැට ඉදිකිරිම සහ ගොඩනැගිල්ල ප්‍රතිසංස්කරණය</t>
  </si>
  <si>
    <t>නිල්මිණි ගොවි සංවිධානයට අස්වනු වියළිම සඳහා කාපට් අතුරනු ලබාදිම</t>
  </si>
  <si>
    <t>ශ්‍රී සුමංගල පෙර පාසලේ ගොඩනැගිල්ල අලුත්වැඩියා කිරිම සහ සෙල්ලම් මිදුල සංවර්ධනය කිරිම</t>
  </si>
  <si>
    <t>මහින්ද පෙරපාසල සඳහා වැසිකිලි පද්ධතියක් සකස් කිරිම</t>
  </si>
  <si>
    <t>දේවාල කොටස ගැමිදිරි ගොඩනැගිල්ලේ වහල ප්‍රතිසංස්කරණය කිරිම</t>
  </si>
  <si>
    <t>පවුල් සෞඛ්‍ය මධ්‍යස්ථානයේ ආරක්ෂිත වැට සකස් කිරිම</t>
  </si>
  <si>
    <t>රජ ඇල හරහා ඇති පිවිසුම් මාර්ගය (ලයිට් කණු යොදා තාවකාලිකව), වගරුවෙල හන්දිය අසල ප්‍රධාන ඇල හරහා ඇති පිවිසුම් මාර්ගය සහ වැවෙයාය අතර මාර්ගය බෝක්කුව සහ පැති බැම්ම යොදා ප්‍රතිසංස්කරණය කිරිම</t>
  </si>
  <si>
    <t>ගැමුණුගම සුමුදු පෙර පාසලේ ආරක්ෂිත වැට ඉදිකිරිම සහ සෙල්ලම් මිදුල සංවර්ධනය, විදුලිය ලබාගැනිම</t>
  </si>
  <si>
    <t>කොට්ටාස කිහිපයක් සඳහා ධීවර කර්මාන්තය නඟා සිටුවිමට මත්ස්‍ය පැටවු ලබාදිම</t>
  </si>
  <si>
    <t>පැල්වත්ත කොට්ඨාසයේ වසම් කිහිපයක් සඳහා තෙල් ඉසින යන්ත්‍ර ලබාදිම</t>
  </si>
  <si>
    <t>15 කණුව පෙරපාසලට යාබද පාර හරහා ඇති ඇළ හරහා බෝක්කුවක් දැමිම</t>
  </si>
  <si>
    <t>පහළ ප්‍රධාන මාර්ගයේ කෝසුව වෙනුවට බෝක්කුවක් යොදා මාර්ගය සකස් කිරිම</t>
  </si>
  <si>
    <t>දඹේ වැව ඒකාබද්ධ ගොවි සංවිධානයට ද්‍රෝණ යන්ත්‍රයක් ලබාදීම (තෙල් ඉසීම සඳහා)</t>
  </si>
  <si>
    <t>පුබුදු කාන්තා සමිතිය, බේකරි නිෂපාදන සඳහා අවශ්‍ය යන්ත්‍රෝපකරණ ලබා දීම.</t>
  </si>
  <si>
    <t>මො/සමන්සිරි කරුණාරත්න ප්‍රාථමික විද්‍යාලය සඳහා වැසිකිළි පද්ධතියක් ඉදි කිරීම</t>
  </si>
  <si>
    <t>සිනුක්කුව කුඩා ගම්මාන 1,2 ධීවර වල ප්‍රතිසංස්කරණ සහ මාළු දැමීම</t>
  </si>
  <si>
    <t>හබරලුවැව පෙර පාසල් ගොඩනැගිල්ල නවීකරණය කිරීම</t>
  </si>
  <si>
    <t>මොණරාගල දිස්ත්‍රික් ටයිකොන්ඩෝ සංගමය සඳහා ටයිකොන්ඩෝ කාපට් එකක් ලබා දීම.</t>
  </si>
  <si>
    <t>දිරිලිය කාන්තා සමිතිය, ව්‍යාවසායිකාවන් 25 දෙනෙකු සඳහා විජලන යන්ත්‍ර 02ක් සහ අවශ්‍ය උපකරණ ලබා දීම.</t>
  </si>
  <si>
    <t>හෙළ බොජුන්හලක් ඉදිකිරිම</t>
  </si>
  <si>
    <t>ග්‍රාමීය හා ප්‍රජා සවිබලගැන්විමේ අමා.</t>
  </si>
  <si>
    <t>ප්‍රාදේශිය ලේකම් කාර්යාලය, වැල්ලවාය</t>
  </si>
  <si>
    <t>බඩල්කුඹුර ඔසු උයනේ කාර්ය මණ්ඩලය සඳහා ප්‍රායෝගික පුහුණු පාඨමාලාවක් පැවැත්විම (ඖෂධීය ශාක ප්‍රචාරණය සඳහා ඖෂධීය බීජ එකතු කිරිම, සංරක්ෂණය කිරිම සහ බෙදාහැරිම</t>
  </si>
  <si>
    <t>මැදගම, මීගහවගුර ගම්මානයේ ආර්.එම්.සොමාවතී මියගේ නිවස අසල පොදු ළිඳ අලුත්වැඩියා කර නල පද්ධතියක් මඟින් පානීය ජලය ලබා දීම.</t>
  </si>
  <si>
    <t>ප්‍රාදේශිය ලේකම් කාර්යාලය, මැදගම</t>
  </si>
  <si>
    <t>මැදගම ප්‍රාදේශිය ලේකම් කොට්ඨාසයේ පිවිතුරු නිෂ්පාදන පාදක (National Cleaner Production Conceot) තත්ත්ව පරික්ෂණ සහ ස්වයංක්‍රීය ඇසුරුම් පහසුකම් සහිත තිරසාර පුවක් හා කෘෂි නිෂ්පාදන නවෝත්පාදන මධ්‍යස්ථානයක් පිහිටුවිම</t>
  </si>
  <si>
    <r>
      <t>නී</t>
    </r>
    <r>
      <rPr>
        <sz val="12"/>
        <color theme="1"/>
        <rFont val="Iskoola Pota"/>
        <family val="2"/>
      </rPr>
      <t>ලවබැද්ද - නාගහමඩ මාර්ගයේ කේ.එම්.ජයසේන මහතාගේ ඉඩම අසල අනාරක්ෂිත බෝක්කුව සංවර්ධනය කිරීම.</t>
    </r>
  </si>
  <si>
    <t>මඩුගස්මුල්ල කොක්ගොඩකන්ද ජල යෝජනා ක්‍රමය ක්‍රියාත්මක කිරීම.</t>
  </si>
  <si>
    <t>බුදුගල්ගේ වැව ප්‍රතිසංස්කරනය කිරිම</t>
  </si>
  <si>
    <t>ක්‍රීඩා, යෞවන කටයුතු, සංචාරක,ප්‍රවාහන, සංස්කෘතික සහ පේෂ කර්මාන්ත හා කුඩා කාර්මාන්ත අමාත්‍යාංශය</t>
  </si>
  <si>
    <t>පළාත් නිශ්චිත ප්‍රදාන</t>
  </si>
  <si>
    <t>මාලිගාවිල සහ අඹේගොඩ බෝධිසත්ව පිළිම පුරාවිද්‍යාත්මක ස්ථානවල සංචාරකයින් සඳහා පානීය ජල පහසුකම් සැපයිම</t>
  </si>
  <si>
    <t>උපමාන පාදක</t>
  </si>
  <si>
    <t>ක්‍රීඩා, යෞවන කටයුතු, සංචාරක,ප්‍රවාහන, සංස්කෘතික සහ පේෂ කර්මාන්ත හා කුඩා කර්මාන්ත අමාත්‍යාංශය</t>
  </si>
  <si>
    <t>කාර්යාල උපාංග හා ගෘහභාණ්ඩ මිල දි ගැනිම (ප්‍රදාන කාර්යාලය, හල්පේ උපකාර්යාලය හා මොනරාගල උප කාර්යාලය සඳහා ) දෙපාර්තමේන්තුවට අවශ්‍ය තොරතුරු තාක්ෂණික පහසුකම් වැඩිදියුණු කිරිම</t>
  </si>
  <si>
    <t>මාර්ග සංවර්ධන, නිවාස, ජල සම්පාදන, වතු යටිතල පහසුකම් සහ සමූපකාර කටයුතු පිළිබඳ අමාත්‍යාංශය</t>
  </si>
  <si>
    <t>9 කණුව, බුද්ධම බදුලුවෙල මාර්ගය ගල් අතුරා තාර දැමීම</t>
  </si>
  <si>
    <t>විම්‍යගත</t>
  </si>
  <si>
    <t>විම්‍ධ්‍යගත</t>
  </si>
  <si>
    <t>හම්බේගමුව ආයුර්වේද මධ්‍යම බෙහෙත් ශාලාවේ වෛද්‍ය නිල නිවස ඉදිකිරිම</t>
  </si>
  <si>
    <t>බුද්ධශාසන, ආගමික හා සංස්කෘතික කටයුතු අමාත්‍යාංශය</t>
  </si>
  <si>
    <t>ග්‍රාමීය බෞද්ධ විහාරස්ථාන සංවර්ධනය කිරිමේ වැඩසටහන</t>
  </si>
  <si>
    <t>කොටවෙහෙරමංකඩ,ගල්ඉරාමංකඩ, ශ්‍රී ශෛලබිම්බාරාමය විහාරස්ථානයේ දානශාලාවේ ස්ලැබ් එක දැමිම</t>
  </si>
  <si>
    <t>දොඩම්ගොල්ල, ගංගාතිලක රාජමහා විහාරස්ථානයේ මුළුතැන්ගෙය අලුත්වැඩියා කිරිම</t>
  </si>
  <si>
    <t>බුරුතගොල්ල, වැව පෙදෙස ගලේ විහාරස්ථානයේ සංඝාවාසයේ ඉතිරි වැඩ නිමකිරිම</t>
  </si>
  <si>
    <t>මහගොඩයාය, නව ගම්මානය, පුණ්‍යාලෝක බෞද්ධ මධ්‍යස්ථානයේ දානශාලාවේ පහත මාලයේ වැඩ නිමකිරිම</t>
  </si>
  <si>
    <t>මීගහපිටිය, බෝධමළු පුරාණවිහාරයේ නව සංඝාවාසයට ජල පහසුකම් සපයාගැනිම</t>
  </si>
  <si>
    <t>කොටියාගොඩ පුරාණ රාජමහා විහාරස්ථානයේ ධර්මශාලා ගොඩනැගිල්ලේ වහළය සෙවිලි කිරිම</t>
  </si>
  <si>
    <t>නන්නපුරාව, අහුගොඩ ගල්ලෙන් පුරාණ විහාරස්ථානයේ ධර්මශාලාව අලුත්වැඩියා කිරිම</t>
  </si>
  <si>
    <t>පන්සල අසල ඇති සෞඛ්‍ය මධ්‍යස්ථානයේ වැට සැදිම, වහලය සහ ගොඩනැගිල්ල අලුත්වැඩජියා කිරිම</t>
  </si>
  <si>
    <t>ග්‍රාමීය මාර්ග සංවර්ධන වැඩසටහන</t>
  </si>
  <si>
    <t>පළාත් වාරිමාර්ග</t>
  </si>
  <si>
    <t>හෙලතුන්තල ඇත්තලාමුල්ල මාර්ගය දෙපස කැලය කැපිම හා කාණු කැපිම</t>
  </si>
  <si>
    <t>අක්කර 100 වාසිපන අරළුගස්මඩ මාර්ගය දෙපස කැලය කැපිම හා කාණු කැපිම</t>
  </si>
  <si>
    <t>පළාත් ක්‍රීඩා අමාත්‍යාංශය</t>
  </si>
  <si>
    <t>ලුණුගල ජනපදය බෝගහපැලැස්ස පාර දෙපස කැලය කැපිම කාණු කැපිම</t>
  </si>
  <si>
    <t>පස්සර තැන්නුගේ ගමේවෙල උඩවරාදොල මාර්ගය නාය පස් ඉවත් කිරිම</t>
  </si>
  <si>
    <t>සමෘද්ධි එකමුතු පෙරපාසල සඳහා ලීබඩු උපකරණ ලබාදිම</t>
  </si>
  <si>
    <t>ඌව පළාත් සෞඛ්‍ය, දේශිය වෛද්‍ය, පරිවාස හා ළමා රක්ෂක, වනිතා කටයුතු සහ සමාජ සුභසාධන අමාත්‍යාංශය</t>
  </si>
  <si>
    <t>තෝරාගත් ටැංකි, කූඩු සහ පොකුණුවලට මාළු පැටවුන් මුදාහැරිම</t>
  </si>
  <si>
    <t>කූඩු වගාව සඳහා කූඩු දැල් 60ක් සැපයිම</t>
  </si>
  <si>
    <t>මඩ වැව්වල පොකුණු පිහිටුවිම</t>
  </si>
  <si>
    <t>සිමෙන්ති වැව් 07ක පොකුණු පිහිටුවිම</t>
  </si>
  <si>
    <t>අභ්‍යන්තර ගොවීන් සඳහා සම්මත උපකරණ සැපයිම</t>
  </si>
  <si>
    <t>මොනරාගල දිස්ත්‍රික්කයේ කුඩා අභිජනනාගාර වැඩිදියුණු කිරිම</t>
  </si>
  <si>
    <t>බෝට්ටු අංගන ඉදිකිරිම</t>
  </si>
  <si>
    <t>ධීවර සමිති නිලධාරින් සහ සාමාජිකයින් සඳහා මත්ස්‍ය වගාව, ජීවිත ආරක්ෂණ පුහුණු වැඩසටහන් පැවැත්විම</t>
  </si>
  <si>
    <t>නිලධාරින් සඳහා ව්‍යාපෘති යෝජනා, ව්‍යාපෘති ක්‍රියාත්මක කිරිම, කුසලතා සංවර්ධනය පිළිබඳ ධාරිතා සංවර්ධන පුහුණු පැවැත්විම</t>
  </si>
  <si>
    <t>ප්‍රගති රැස්විම් පැවැත්විම</t>
  </si>
  <si>
    <t>නිකපිටිය යෝධ ඇල සංවර්ධනය කිරිම</t>
  </si>
  <si>
    <t>ඉලුක්පිටිය සිට බැද්දේයාය කෘෂී පාර සංවර්ධනය කිරිම</t>
  </si>
  <si>
    <t>පොකුණුඔය අමුණ  හා රදාන වැව පෝෂක ඇල ඉදිකිරිම</t>
  </si>
  <si>
    <t>සුදු පොල්තෙල් නිශ්පාදන කර්මාන්තයක් ආරම්භ කිරීමට අමුණේ කඳුර කාන්තා සමිතියට අවශ්‍ය යන්ත්‍ර සුත්‍ර ලබා දීම.</t>
  </si>
  <si>
    <t>ග්‍රාමීය හා ප්‍රජා සවිබල ගැන්විමේ අමා.</t>
  </si>
  <si>
    <t>මො/මාරිඅරාව මහ විද්‍යාලයේ ආරක්ෂිත පැති බැමිම ඉදිකිරීම</t>
  </si>
  <si>
    <t>මැදගම, කොටබෝව, අයිවෙල මාර්ගය - බෝක්කුව ගල් අතුරා තාර දෑමිම හා දෙවන වර තාර ආලේපය</t>
  </si>
  <si>
    <t>දිඹුල්දෙන විදුලි  දිගුව</t>
  </si>
  <si>
    <t>බිම්මල් හා කොස් ආශ්‍රිත නිෂ්පාදන ව්‍යාපෘතියක් ආරම්භ කිරීමට සේනාපතිය ග්‍රාම සංවර්ධන සමිතියට අවශ්‍ය  යන්ත්‍ර හා උපකරණ ලබා දීම.</t>
  </si>
  <si>
    <t>සංශෝධන</t>
  </si>
  <si>
    <t>පොල්වගා කිරිමේ මණ්ඩලය</t>
  </si>
  <si>
    <t>ප්‍රජාශක්ති විශේෂ ගෙවතු වගා වැඩසටහන ඇතුළු අනෙකුත් වැඩසටහන්</t>
  </si>
  <si>
    <t>වැවිලි සහ ප්‍රජා යටිතල පහසුකම් අමාත්‍යාංශය</t>
  </si>
  <si>
    <t>වෙහෙරගල, කොකාරව කෘෂි මාර්ගය වැඩිදියුණු කිරීම</t>
  </si>
  <si>
    <t>ආඳාවෙලයාය</t>
  </si>
  <si>
    <t>මල්වත්තාවෙල කැහැළිය මාර්ගය දෙවනවර තාර ආලේපනය</t>
  </si>
  <si>
    <t>කුඩාඔය, බලහරුව හම්බේගමුව මාර්ගය දෙවනවර තාර ආලේපනය</t>
  </si>
  <si>
    <t>දෙහිලන්දයාය කෘෂි මාර්ගය වැඩිදියුණු කිරීම</t>
  </si>
  <si>
    <t>කම්මල, හතර කණුව ආනපල්ලම අසල මාර්ගය කොන්ක්‍රීට් කිරීම.</t>
  </si>
  <si>
    <r>
      <t xml:space="preserve">පෙර පාසල් දරුවන්ගේ සෞඛ්‍ය තත්ත්වය වැඩිදියුනු කිරිම සඳහා පෝෂණ වැඩසටහනක් පැවැත්විම </t>
    </r>
    <r>
      <rPr>
        <b/>
        <sz val="12"/>
        <color theme="1"/>
        <rFont val="Calibri"/>
        <family val="2"/>
        <scheme val="minor"/>
      </rPr>
      <t>“සුවැති සිඟිත්තෝ“</t>
    </r>
    <r>
      <rPr>
        <sz val="12"/>
        <color theme="1"/>
        <rFont val="Calibri"/>
        <family val="2"/>
        <scheme val="minor"/>
      </rPr>
      <t xml:space="preserve"> (පෙරපාසල් දරුවන්ට සහ ඔවුනගේ මව්වරුන්ට පෝෂ්‍යදායි දේශිය ආහාර සැකසිමේ ක්‍රම හඳුන්වාදිම) </t>
    </r>
  </si>
  <si>
    <r>
      <rPr>
        <b/>
        <sz val="12"/>
        <color theme="1"/>
        <rFont val="Calibri"/>
        <family val="2"/>
        <scheme val="minor"/>
      </rPr>
      <t>“සිසු දිවියට අත්වැලක්“</t>
    </r>
    <r>
      <rPr>
        <sz val="12"/>
        <color theme="1"/>
        <rFont val="Calibri"/>
        <family val="2"/>
        <scheme val="minor"/>
      </rPr>
      <t xml:space="preserve"> පාසල් දරුවන්ගේ පෝෂණ තත්ත්වය සහ ශාරීරික, මානසික සහ අධ්‍යාත්මික තත්ත්වයන් වැඩිදියුණු කිරිම සහ දේහිය පාන වර්ග හඳුන්වාදීම සඳහා වැඩසටහන් පැවැත්විම</t>
    </r>
  </si>
  <si>
    <r>
      <rPr>
        <b/>
        <sz val="12"/>
        <color theme="1"/>
        <rFont val="Calibri"/>
        <family val="2"/>
        <scheme val="minor"/>
      </rPr>
      <t>“යෞවනෝදයට ආයුර්වේදය“</t>
    </r>
    <r>
      <rPr>
        <sz val="12"/>
        <color theme="1"/>
        <rFont val="Calibri"/>
        <family val="2"/>
        <scheme val="minor"/>
      </rPr>
      <t xml:space="preserve"> පරිවාස හා ළමාරක්ෂක දෙපාර්තමේන්තුව සමඟ සහයෝගයෙන් තරුණ ප්‍රජාව සහ තරුණ මව්වරුන් සඳහා ශාරීරික, මානසික සහ අධ්‍යත්මික මට්ටම් වැඩිදියුණු කිරිම වැඩසටහන් (යෝග වැඩසටහන් සහ රූපලාවන්‍ය)</t>
    </r>
  </si>
  <si>
    <r>
      <rPr>
        <b/>
        <sz val="12"/>
        <color theme="1"/>
        <rFont val="Calibri"/>
        <family val="2"/>
        <scheme val="minor"/>
      </rPr>
      <t xml:space="preserve">“ජේෂ්ඨ පුරවැසි සුවතාව “  </t>
    </r>
    <r>
      <rPr>
        <sz val="12"/>
        <color theme="1"/>
        <rFont val="Calibri"/>
        <family val="2"/>
        <scheme val="minor"/>
      </rPr>
      <t>වැඩිහිටි සමාජයේ ශාරීරික, මානසික සහ අධ්‍යත්මික මට්ටම් වැඩිදියුණු කිරිම සඳහා වැඩිහිටි සමිති, වැඩිහිටි නිවාසවල ජීවත් වන වැඩිහිටියන් සඳහා දැනුවත් කිරිමේ වැඩසටහන් සහ සායන පැවැත්විම (පරික්ෂණ)</t>
    </r>
  </si>
  <si>
    <r>
      <rPr>
        <b/>
        <sz val="12"/>
        <color theme="1"/>
        <rFont val="Calibri"/>
        <family val="2"/>
        <scheme val="minor"/>
      </rPr>
      <t xml:space="preserve">“හෙළ රසයෙන් පෝෂණය“ </t>
    </r>
    <r>
      <rPr>
        <sz val="12"/>
        <color theme="1"/>
        <rFont val="Calibri"/>
        <family val="2"/>
        <scheme val="minor"/>
      </rPr>
      <t>Clean Srilanka  සංකල්පය යටතේ ග්‍රාමීය හා වතු ජනතාවගේ සෞඛ්‍යය වැඩිදියුණු කිරිම සඳහා වැඩසටහන් පැවැත්විම (අඩු වියදම් පෝෂණ ආහාර සැකසිම පිළිබඳ දැනුවත් කිරිමේ වැඩසටහන් , සායන)</t>
    </r>
  </si>
  <si>
    <r>
      <t xml:space="preserve">සාම්ප්‍රදායික ශිල්පීන් නඟාසිටුවිම සඳහා </t>
    </r>
    <r>
      <rPr>
        <sz val="12"/>
        <color rgb="FF000000"/>
        <rFont val="Calibri"/>
        <family val="2"/>
        <scheme val="minor"/>
      </rPr>
      <t>50%</t>
    </r>
    <r>
      <rPr>
        <sz val="12"/>
        <color rgb="FF000000"/>
        <rFont val="Iskoola Pota"/>
        <family val="2"/>
      </rPr>
      <t xml:space="preserve"> දායකත්වය යටතේ උපකරණ</t>
    </r>
    <r>
      <rPr>
        <sz val="12"/>
        <color rgb="FF000000"/>
        <rFont val="Calibri"/>
        <family val="2"/>
        <scheme val="minor"/>
      </rPr>
      <t xml:space="preserve"> </t>
    </r>
    <r>
      <rPr>
        <sz val="12"/>
        <color rgb="FF000000"/>
        <rFont val="Iskoola Pota"/>
        <family val="2"/>
      </rPr>
      <t>ලබාදීම (මැෂින් මිලදි ගැනිම)</t>
    </r>
  </si>
  <si>
    <r>
      <t>හඳුනාගත් වෘත්තීය පුහුණු පාඨමාලා (සාම්ප්‍රදායික නොවන - පේෂ කර්ම</t>
    </r>
    <r>
      <rPr>
        <sz val="12"/>
        <color rgb="FF000000"/>
        <rFont val="Calibri"/>
        <family val="2"/>
        <scheme val="minor"/>
      </rPr>
      <t xml:space="preserve"> </t>
    </r>
    <r>
      <rPr>
        <sz val="12"/>
        <color rgb="FF000000"/>
        <rFont val="Iskoola Pota"/>
        <family val="2"/>
      </rPr>
      <t>වඩු හා</t>
    </r>
    <r>
      <rPr>
        <sz val="12"/>
        <color rgb="FF000000"/>
        <rFont val="Calibri"/>
        <family val="2"/>
        <scheme val="minor"/>
      </rPr>
      <t xml:space="preserve">, </t>
    </r>
    <r>
      <rPr>
        <sz val="12"/>
        <color rgb="FF000000"/>
        <rFont val="Iskoola Pota"/>
        <family val="2"/>
      </rPr>
      <t>ලුහු ඉංජිනේරු ) සඳහා පුහුණු දීමනා ලබා දීම ඌව පළාත)</t>
    </r>
  </si>
  <si>
    <r>
      <t xml:space="preserve">ක්ෂුද්‍ර හා කුඩා කර්මාන්තකරුවන් සඳහා </t>
    </r>
    <r>
      <rPr>
        <sz val="12"/>
        <color rgb="FF000000"/>
        <rFont val="Calibri"/>
        <family val="2"/>
        <scheme val="minor"/>
      </rPr>
      <t>50%</t>
    </r>
    <r>
      <rPr>
        <sz val="12"/>
        <color rgb="FF000000"/>
        <rFont val="Iskoola Pota"/>
        <family val="2"/>
      </rPr>
      <t xml:space="preserve"> දායකත්වය යටතේ ස්වයං</t>
    </r>
    <r>
      <rPr>
        <sz val="12"/>
        <color rgb="FF000000"/>
        <rFont val="Calibri"/>
        <family val="2"/>
        <scheme val="minor"/>
      </rPr>
      <t xml:space="preserve"> </t>
    </r>
    <r>
      <rPr>
        <sz val="12"/>
        <color rgb="FF000000"/>
        <rFont val="Iskoola Pota"/>
        <family val="2"/>
      </rPr>
      <t>රැකියා උපකරණ ලබාදීම (ඌව පළාත)</t>
    </r>
  </si>
  <si>
    <r>
      <t>කර්මාන්තකරුවන් හා ඌව වෙල්ලස්ස විශ්ව විද්‍යාලය සමඟ වැඩසටහන්</t>
    </r>
    <r>
      <rPr>
        <sz val="12"/>
        <color rgb="FF000000"/>
        <rFont val="Calibri"/>
        <family val="2"/>
        <scheme val="minor"/>
      </rPr>
      <t xml:space="preserve"> </t>
    </r>
    <r>
      <rPr>
        <sz val="12"/>
        <color rgb="FF000000"/>
        <rFont val="Iskoola Pota"/>
        <family val="2"/>
      </rPr>
      <t>ක්‍රියාත්මක කිරීම (තෝරාගත් ප්‍රාදේශිය ලේකම් කොට්ඨාස)</t>
    </r>
  </si>
  <si>
    <r>
      <t>දෙපාර්තමේන්තු</t>
    </r>
    <r>
      <rPr>
        <sz val="12"/>
        <color rgb="FF000000"/>
        <rFont val="Calibri"/>
        <family val="2"/>
        <scheme val="minor"/>
      </rPr>
      <t xml:space="preserve"> </t>
    </r>
    <r>
      <rPr>
        <sz val="12"/>
        <color rgb="FF000000"/>
        <rFont val="Iskoola Pota"/>
        <family val="2"/>
      </rPr>
      <t>කාර්ය මණඩලය සඳහා පුහුණු හා ධාරිතාව වර්ධනය කිරීමේ වැඩසටහන් පැවැත්වීම</t>
    </r>
    <r>
      <rPr>
        <sz val="12"/>
        <color rgb="FF000000"/>
        <rFont val="Calibri"/>
        <family val="2"/>
        <scheme val="minor"/>
      </rPr>
      <t xml:space="preserve">  (බදුල්ල, මොනරාගල)</t>
    </r>
  </si>
  <si>
    <t>මාරිආරාව, කිරිවැල්ගොඩ, කළුබුද්ධරක්ඛිත පුරාණ රාජමහා විහාරස්ථානයේ ජල පහසුකම් වැඩිදියුණු කිරිම</t>
  </si>
  <si>
    <t>රිටිගහවත්ත, කදාලා වෙහෙර පුරාණ රාජමහා විහාරස්ථානයේ ධර්මශාලාවේ ඉතිරි වැඩ නිමකිරිම</t>
  </si>
  <si>
    <t>ලියන්ගොල්ල ග්‍රාමිය කාන්තා අභිවෘද්ධි මධ්‍යස්ථානයේ ආරක්ෂිත වැටේ ඉතිරි කොටස ඉදිකිරිම.</t>
  </si>
  <si>
    <t>කිවුලේයාය</t>
  </si>
  <si>
    <t>මො/දනකිරිය ප්‍රාථමික විද්‍යාලයේ වැසිකළි අලුත්වැඩියාව</t>
  </si>
  <si>
    <t>පුහුල්බෝය විදුලි  දිගුව</t>
  </si>
  <si>
    <t>ඇතිමලේ ප්‍රාදේශිය රෝහලේ දන්තශල්‍ය ඒකකය අලුත්වැඩියා කිරිම</t>
  </si>
  <si>
    <t>ප්‍රතිපාදන ලබාදෙන ආයතනය/වැඩසටහන</t>
  </si>
  <si>
    <t>මො/හඳපානාගල ම.වි. 125x25 C.W.W. කන්නන්ගර ශාලාව අළුත්වැඩියාව</t>
  </si>
  <si>
    <t>බුත්තල ග්‍රාමිය ආයුර්වේද රෝහලේ පහසුකම් පුළුල් කිරිම ( ෆාමසිය ඉදිකිරිම)</t>
  </si>
  <si>
    <t>ප්‍රාදේශිය ලේකම් කාර්යාලය (පා.ම.ධර්මසේන මයා)</t>
  </si>
  <si>
    <t>මො/දඹගල්ල පියරතන ම. වි. සේපාලිකා ශාලාව අළුත්වැඩියා කිරීම</t>
  </si>
  <si>
    <t>නිවාස අමාත්‍යාංශය</t>
  </si>
  <si>
    <t>මාර්ග සංවර්ධන අමාත්‍යාංශය</t>
  </si>
  <si>
    <t>සමුපකාර සංවර්ධන දෙපාර්තමේන්තුව</t>
  </si>
  <si>
    <t>කර්මාන්ත සංවර්ධන දෙපාර්තමේන්තුව</t>
  </si>
  <si>
    <t>ඌව පළාත් ක්‍රීඩා දෙපාර්තමේන්තුව</t>
  </si>
  <si>
    <t>බඩල්කුඹුර මුදලින්දාරාම ටැම් විහාරය සංරක්ෂණය කිරිම ( අලුතින් දැව යොදා වහලය පිළිසකර කිරිම)</t>
  </si>
  <si>
    <t>සංචාරක අමාත්‍යාංශය</t>
  </si>
  <si>
    <t>මුදල් හා ක්‍රමසම්පාදන, නීතිය හා සාමය, අධ්‍යාපන, පළාත් පාලන, ඉඩම්, විදුලිබල හා බලශක්ති ඉදිකිරිම්, ග්‍රාමීය යටිතල පහසුකම් අමාත්‍යාංශය</t>
  </si>
  <si>
    <t xml:space="preserve">මොනරාගල සියඹලාණ්ඩුව ප්‍රධාන මාර්ගයේ 169 කණුව අසලින් යන නියගලාවත්ත මාර්ගයේ ආරම්භක ස්ථානයේ සිට ඉදිරියට කෙ‍ාටසක් කොන්ක්‍රිට් කර සංවර්ධනය කිරීම </t>
  </si>
  <si>
    <t>මො/තිස්සපුර කණිෂ්ඨ විද්‍යාලය සඳහා නල ළිඳක් ඉදිකිරිම</t>
  </si>
  <si>
    <t>මො/ගැමුණුපුර කණිෂ්ඨ විද්‍යාලය සඳහා නල ළිඳක් ඉදිකිරිම</t>
  </si>
  <si>
    <t>මො/රිටිගහවත්ත කණිෂ්ඨ විද්‍යාලයට ජල පෙරණයක් ලබාදිම</t>
  </si>
  <si>
    <t>බුත්තල, මහගොඩයාය, සාම විහාරයෙහි දානශාලාවේ වැඩනිම කිරිම</t>
  </si>
  <si>
    <t>මො/කිතුල්කොටේ ම.වි.80 x20  ශාලාව අළුත්වැඩියාව</t>
  </si>
  <si>
    <t>මො/මහවෙලමුල්ල මු.ක.වි.60 x20  උමර් ශාලාව අළුත්වැඩියාව</t>
  </si>
  <si>
    <t>මො/වෙහෙරයාය ම.වි.ප්‍රධාන ශාලාව අළුත්වැඩියාව</t>
  </si>
  <si>
    <t>මො/සිරි ධම්මපාල මහ විද්‍යාලයේ 90 x 20 ගොඩනැගිල්ල අලුත්වැඩියාව</t>
  </si>
  <si>
    <t>සියලු පළාත් පාලන ආයතන</t>
  </si>
  <si>
    <t>රිටිගහබැද්ද සහ මයිලහින්න ගම්මාන ජල ව්‍යාපෘතිය (මොරටුවගම කොට්ඨාසය) සඳහා ජග ලබාඩා ටැංකිය සහ නල එළිම වැඩිදියුණු කිරිම</t>
  </si>
  <si>
    <t>අඹදණ්ඩආර ජල ව්‍යාපෘතියේ පොම්පාගාරය, ජල ගබඩා ටැංකිය සහ නල එලිම වැඩිදියුණු කිරිම</t>
  </si>
  <si>
    <t>ප්‍රාදේශීය සභාව බිබිල</t>
  </si>
  <si>
    <t>ප්‍රාදේශිය සභාව, බුත්තල</t>
  </si>
  <si>
    <t>කඳසුරිදුගම කුමාර මහතාගේ නිවස අසල මාර්ගය කොන්ක්‍රිට් කිරිම</t>
  </si>
  <si>
    <t>වල්ලි මාතාගම බන්දු මහතාගේ නිවස අසල ඇති නළ ළිඳට ජල ටැංකියක් ඉදිකර ජලය සැපයීම</t>
  </si>
  <si>
    <t>වැල්ලවාය ග්‍රාමිය කාන්තා අභිවෘද්ධි මධ්‍යස්ථානය සංවර්ධනය කිරිම</t>
  </si>
  <si>
    <t>අධ්‍යාපන අමාත්‍යාංශය</t>
  </si>
  <si>
    <t>ජල සම්පාදන මණ්ඩලය</t>
  </si>
  <si>
    <t>ඌව පළාත් ඉඩම් කොමසාරිස් දෙපා./ ප්‍රාදේශිය ලේකම් කාර්යාලය</t>
  </si>
  <si>
    <t>ඌව පළාත් කෘෂිකර්ම, වාරිමාර්ග, සත්ව නිෂ්පාදන, මිරිදිය ධීවර කටයුතු අමාත්‍යාංශය</t>
  </si>
  <si>
    <t>වාරිමාර්ග ඉංජිනේරු කාර්යාලය- බුත්තල</t>
  </si>
  <si>
    <t>අබේලන්ද උඩබුබුල ඇල මාර්ගය ප්‍රතිසංස්කරණය කිරිම</t>
  </si>
  <si>
    <t>11 කණුව මඩුගහපිටිය මාර්ගය සංවර්ධනය කිරිම</t>
  </si>
  <si>
    <t>I ROAD ව්‍යාපෘතිය, බදුල්ල</t>
  </si>
  <si>
    <t>මාලිගාතැන්න මාර්ගය සංවර්ධනය කිරිම</t>
  </si>
  <si>
    <t>දෙවන සැතපුම් කනුව, මීගහයාය සිට බෝගහපලැස්ස මාර්ගය සංවර්ධනය කිරිම</t>
  </si>
  <si>
    <t>දෛනික මාර්ග නඩත්තු</t>
  </si>
  <si>
    <t>අවස්ථානුකුල මාර්ග නඩත්තු</t>
  </si>
  <si>
    <t>කාලානුරූපි මාර්ග නඩත්තු</t>
  </si>
  <si>
    <t>හදිසි මාර්ග නඩත්තු</t>
  </si>
  <si>
    <t>ගංවතුර හානි පිළිසකර කිරිම</t>
  </si>
  <si>
    <t>ප්‍රධාන ඉංජිනේරු කාර්යාලය, මාර්ග සංවර්ධන අධිකාරිය</t>
  </si>
  <si>
    <t>ගෙස්ටුපාන වැව ප්‍රතිසංස්කරණය කිරිම</t>
  </si>
  <si>
    <t>හදිසි අවස්ථා ප්‍රතිචාර දැක්විමේ වැඩසටහන</t>
  </si>
  <si>
    <t>ගොවිජන සේවා දිස්ත්‍රික් කාර්යාලය</t>
  </si>
  <si>
    <t>සෙල්ලකතරගම කොහොඹාදිගන වැව හා කතරගම ගොයාගල වැව ප්‍රතිසංස්කරණය කිරිම</t>
  </si>
  <si>
    <t>රත්මල්ඇල වැව ප්‍රතිසංස්කරණය කිරිම</t>
  </si>
  <si>
    <t>කිවුලේ වැව ප්‍රතිසංස්කරණය කිරිම</t>
  </si>
  <si>
    <t>හාමාපොල පුවක්මලරාව වැව, කොකුන්නෑව අලංකිවුල වැව, හාමාපොල කොකටියගොල්ල වැව, කරාඬුගල උණගස්කණ්ඩිය වැව ප්‍රතිසංස්කරණය කිරිම</t>
  </si>
  <si>
    <t>මඩිත්තව වැව ප්‍රතිසංස්කරණය කිරිම</t>
  </si>
  <si>
    <t>නන්නපුරාව වැව හා සේනාපතිය මල්ගස්ලන්ද වැව ප්‍රතිසංස්කරණය කිරිම</t>
  </si>
  <si>
    <t>සුදුවතුරආර වැව ප්‍රතිසංස්කරණය කිරිම</t>
  </si>
  <si>
    <t>ඒකාබද්ධ ග්‍රාම නගර හා දේශගුණ තත්ත්වයන්ට ඔරොත්තු දීමේ ව්‍යාපෘතිය</t>
  </si>
  <si>
    <t>මිතුවන්ආරාව අමුණ ප්‍රතිසංස්කරනය කිරිම</t>
  </si>
  <si>
    <t>ඉත්තෑකටුව වැව ප්‍රතිසංස්කරණය කිරිම</t>
  </si>
  <si>
    <t>මරගල ඔය අමුණ ප්‍රතිසංස්කරණය කිරිම</t>
  </si>
  <si>
    <t>ඒකාබද්ධ අරමුදල</t>
  </si>
  <si>
    <t>මොනරාගල දිස්ත්‍රික් කාර්යාලය (විදුලි පද්ධතිය සහ වැසිකිළිය) ප්‍රතිසංස්කරණය කිරිම</t>
  </si>
  <si>
    <t>සියලුම කෘෂිකාර්මික සේවාවන් එකම වහලක් යටතේ සැපයිම සඳහා නවීකරණය කරන ලද ගොවිජන සේවා මධ්‍යස්ථාන ස්ථාපිත කිරිම - බුත්තල ගොවිජන සේවා මධ්‍යස්ථානය</t>
  </si>
  <si>
    <t>කොටගම ගොවිජන සේවා මධ්‍යස්ථානය ප්‍රතිසංස්කරණය කිරිම</t>
  </si>
  <si>
    <t>අත්හැර දැමු වැව් ප්‍රතිසංස්කරණය කිරිම</t>
  </si>
  <si>
    <t>කෘෂි ළිං ප්‍රතිසංස්කරණය කිරිම (බුත්තල, දඹගල්ල, සියඹලාණ්ඩුව, ඔක්කම්පිටිය, සෙවනගල, බඩල්කුඹුර)</t>
  </si>
  <si>
    <t>කාලින වැව්වල මිරිදිය මාළු සහ ඉස්සන් ඇතිතිරිම (වැල්ලවාය, තෙළුල්ල, සෙවනගල, තණමල්විල,අල්තුවැව, ඔක්කම්පිටිය)</t>
  </si>
  <si>
    <t>කෘෂි මාර්ග ප්‍රතිසංස්කරණය කිරිම (නව ව්‍යාපෘති)</t>
  </si>
  <si>
    <t>සෘතුමය වගා ආරක්ෂණ වැට</t>
  </si>
  <si>
    <t>යාය වැඩසටහන යටතේ හඳුනාගත් කුඹුරු සඳහා පැරෂුට් තැටි ලබාදිම, වී නිෂ්පාදනයේ ඵලදායිතාව වැඩිකිරිම (කතරගම, අලුත්වැව)</t>
  </si>
  <si>
    <t>ලේසර් ලෙවලින් තාක්ෂණය භාවිතයෙන් තෝරාගත් කුඹුරු ඉඩම් මට්ටම් කිරිම (වැල්ලවාය, තෙළුල්ල)</t>
  </si>
  <si>
    <t>අනෙකුත් ක්ෂේත්‍ර බෝග වගා ගොවීන් සඳහා ක්ෂුද්‍ර වාරිමාර්ග පහසුකම් සැපයිම</t>
  </si>
  <si>
    <t>පවතින හරිතාගාරවල කාර්යක්ෂමතාව වැඩිදියුණු කිරිම (මොනරාගල, බුත්තල, මැදගම, වැල්ලවාය, බඩල්කුඹුර, දඹගල්ල)</t>
  </si>
  <si>
    <t>තෝරාගත් ප්‍රදේශයක කුඹුරු අක්කර 200ක බීජ වී නිෂ්පාදනය (සියඹලාණ්ඩුව, කතරගම, අලුත්වැව, සෙවනගල)</t>
  </si>
  <si>
    <t>සාම්පදායික ජල කළමනාකරණ ක්‍රියාකාරකම් වැඩිදියුණු කිරිම සඳහා වැව් සංවර්ධනය කිරිම සහ පරිසර පද්ධතිය හඳුන්වාදීම (ආදර්ශ වැව)</t>
  </si>
  <si>
    <t>මහා භාණ්ඩාගාරයේ ප්‍රතිපාදන</t>
  </si>
  <si>
    <t>නාගරික සංවර්ධන අධිකාරිය</t>
  </si>
  <si>
    <t>"මිතුරු පුරවර" වැඩසටහන යටතේ වැල්ලවාය බස් නැවතුම්පොල පරිශ්‍රයේ භූමි අලංකරණය සහ කුඩා බස් නැවතුම්පොලක් (Mini Bus Halt) ඉදිකිරීම</t>
  </si>
  <si>
    <t>රාජ්‍ය පරිපාලන හා ස්වදේශ කටයුතු අමාත්‍යංශය යටතේ මොනරාගල දිස්ත්‍රික් ලේකම් කාර්යාලය (උපදේශන සේවා ලෙස නාගරික සංවර්ධන අධිකාරිය)</t>
  </si>
  <si>
    <t>මොනරාගල දිස්ත්‍රික් ලේකම් කාර්යාලය සදහා නව සම්මන්ත්‍රණ ශාලා පරිශ්‍රයක්  ඉදිකිරීම. (2026 වර්ෂය සඳහා රු.මි.100ක් වෙන්කර ඇත.)</t>
  </si>
  <si>
    <t>නාගරික සංවර්ධන අධිකාරි ප්‍රතිපාදන</t>
  </si>
  <si>
    <t>බිබිල නගර මධ්‍යයේ ස්වභාවික දිය බුබුල අවට භූමි අලංකරණ කටයුතු සිදු කිරීම.</t>
  </si>
  <si>
    <t>දඹේවැව ප්‍රදේශයේ ධාරිතා වක්‍රයේ නිෂ්පාදන මැනිම හා මට්ටම කිරිම</t>
  </si>
  <si>
    <t xml:space="preserve">වාරිමාර්ග දෙපාර්තමේන්තුව, මොනරාගල </t>
  </si>
  <si>
    <t>අලුගල්ගේ ප්‍රදේශයේ ධාරිතා වක්‍රයේ නිෂ්පාදන මැනිම හා මට්ටම කිරිම</t>
  </si>
  <si>
    <t>පවතින යෝජනා ක්‍රම සමික්ෂණය හා විමර්ශනය</t>
  </si>
  <si>
    <t>බලහරුව යෝජනා ක්‍රමයේ මැනුම් හා විමර්ශනය</t>
  </si>
  <si>
    <t>මහවැවෙහි වැව් බැම්ම සමික්ෂණය</t>
  </si>
  <si>
    <t>කණ්ඩියපිටවැව යෝජනා ක්‍රමයේ නිෂ්පාදන ප්‍රදේශ ධාරිතා වක්‍රය මැනිම හා මට්ටම් කිරිම</t>
  </si>
  <si>
    <t>සුගලාදේවි යෝජනා ක්‍රමයේ නිෂ්පාදන ප්‍රදේශ ධාරිතා වක්‍රය මැනිම හා මට්ටම් කිරිම</t>
  </si>
  <si>
    <t>මුතුකණ්ඩිය යෝජනා ක්‍රමයේ මුතුකණ්ඩිය ජලාශය වටා වෙන්කිරිම් කුට්ටි ඇතිකිරිම</t>
  </si>
  <si>
    <t>ක්ලීන් ශ්‍රි ලංකා වැඩසටහන</t>
  </si>
  <si>
    <t>යථා තත්ත්වයට පත් කිරිමේ වැඩසටහන</t>
  </si>
  <si>
    <t>වේලි ඹය යෝජනා ක්‍රමයේ මාලකඳුර කඳවුර පරිශ්‍රයේ ගේට්ටු සහ වැට වැඩිදියුනු කිරිම</t>
  </si>
  <si>
    <t>බලහරුව යෝජනා ක්‍රමයේ කම්කරු නිවාස වටා වැට ඉදිකිරිම</t>
  </si>
  <si>
    <t>මොනරවාන යෝජනා ක්‍රමයේ LR හා  RB ප්‍රධාන ඇළ මාර්ග ඔස්සේ රක්ෂිත බිම් ස්ථාපිත කිරිම</t>
  </si>
  <si>
    <t>බිබිල කාර්යාලය වටා GI දැල් වැටක් ඉදිකිරිම</t>
  </si>
  <si>
    <t>බලහරුව වැවේ වාන් දොරටු වැඩිදියුණු කිරිම</t>
  </si>
  <si>
    <t>අමතර ආරක්ෂාව සඳහා ප්‍රධාන වැඩ වැඩිදියුණු කිරිම</t>
  </si>
  <si>
    <t>යුදගනාව වැවේහි ඛාදනය වැළැක්විම සඳහා කටයුතු කිරිම</t>
  </si>
  <si>
    <t>බිබිල බදුලු ඔය වැවේ පිටාර ගැලිමේ දකුණ පැත්තේ බැම්ම හා වැව් බැම්ම අතර කාන්දුවිම වැළැක්විම</t>
  </si>
  <si>
    <t>බලහරුව සෑදල බන්ට් එකෙහි වැඩිදියුණු කිරිම්</t>
  </si>
  <si>
    <t>කණ්ඩියපිටවැවෙහි ඛාදනය වැළැක්විමට පියවර ගැනිම</t>
  </si>
  <si>
    <t>ඇතිමලේ යෝජනා ක්‍රමය යටතේ විලඔය අමුණට අත්වැට ඉදිකිරිම</t>
  </si>
  <si>
    <t>දෙහිඅත්තාවල යෝජනා ක්‍රමයේ අමුණ, දොරටුව සහ පහළ ඇළ මාර්ග ආරක්ෂාව වැඩිදියුණු කිරිම</t>
  </si>
  <si>
    <t>මාගන්දනඹය යෝජනා ක්‍රමයේ අමුණ, දොරටුව සහ පහළ ඇළ මාර්ග ආරක්ෂාව වැඩිදියුණු කිරිම</t>
  </si>
  <si>
    <t>බදුලු ඔය වැව්බැම්ම දිගේ පාද කණුවක් සහ පාද මාර්ගයක් ඉදිකරිම</t>
  </si>
  <si>
    <t>කරවිල වැවේ සොරොව්වේ පහළ කොටසේ ජල මිනුම් ව්‍යුහයන් ක්‍රමාංකනය කිරීම සහ සවි කිරීම.</t>
  </si>
  <si>
    <t>ක්‍රමාංකනය සහ ජල කළමනාකරණ අධ්‍යයන වැඩසටහන</t>
  </si>
  <si>
    <t>මයිලේගම වැවේ සොරොව්වේ පහළ කොටසේ ජල මිනුම් ව්‍යුහයන් ක්‍රමාංකනය කිරීම සහ සවි කිරීම.</t>
  </si>
  <si>
    <t>කහකුරුල්ලන් පැලැස්ස වැවේ LB සහ RB ප්‍රධාන ඇළ මාර්ගවල ජල මිනුම් ව්‍යුහයන් ක්‍රමාංකනය කිරීම සහ සවි කිරීම.</t>
  </si>
  <si>
    <t>බලහරුව යෝජනා ක්‍රමයේ ශ්‍රේණිගත කිරීමේ වක්‍රය සකස් කිරීම සහ මාපක තහඩු සවි කිරීම.</t>
  </si>
  <si>
    <t>වේලිඔය ප්‍රධාන ඇළේ ක්‍රමාංකන සහ සවිකිරීමේ මාපක</t>
  </si>
  <si>
    <t>සුගලාදේවි වැවේ සොරොව්වේ පහළ කොටසේ ජල මිනුම් ව්‍යුහයන් ක්‍රමාංකනය කිරීම සහ සවි කිරීම.</t>
  </si>
  <si>
    <t>සද්ධාතිස්ස වැවේ සොරොව්වේ පහළ ධාරාවේ ජල මිනුම් ව්‍යුහයන් ක්‍රමාංකනය කිරීම සහ සවි කිරීම.</t>
  </si>
  <si>
    <t>කොටියාගල වැවේ සොරොව්වේ පහළ කොටසේ ජල මිනුම් ව්‍යුහයන් ක්‍රමාංකනය කිරීම සහ සවි කිරීම.</t>
  </si>
  <si>
    <t>බදුලුඔය අමුණෙහි ජල මිනුම් ව්‍යුහයන් ක්‍රමාංකනය කිරීම සහ සවි කිරීම</t>
  </si>
  <si>
    <t>ජල මිනුම් ව්‍යුහයන් ක්‍රමාංකනය කිරීම සහ සවි කිරීම දෙහිඅත්තවල අමුණ</t>
  </si>
  <si>
    <t>ජල මිනුම් ව්‍යුහයන් ක්‍රමාංකනය කිරීම සහ සවි කිරීම මොනරවාන අමුණ</t>
  </si>
  <si>
    <t>ජල මිනුම් ව්‍යුහයන් ක්‍රමාංකනය කිරීම සහ සවි කිරීම මාගන්දනඔය අමුණ</t>
  </si>
  <si>
    <t>මුතුකණ්ඩිය යෝජනා ක්‍රමයේ මුතුකණ්ඩිය ප්‍රධාන ඇළෙහි රොන්මඩ ඉවත්කරණය  අංක 1ක් ඉදිකිරීම.</t>
  </si>
  <si>
    <t>ජල කළමනාකරණය සහ ප්‍රවාහන කාර්යක්ෂමතාවයේ වැඩිදියුණු කිරීම් වැඩසටහන</t>
  </si>
  <si>
    <t>බලහරුව LBMC හි 0+300 ඡන්ද ප්‍රතිශත ව්‍යුහයන් FC 03 හි වැඩිදියුණු කිරීම්</t>
  </si>
  <si>
    <t>බදුලුඔය යෝජනා ක්‍රමයේ වාර ප්‍රතිදාන ව්‍යුහය සහ FTO ව්‍යුහය වැඩිදියුණු කිරීම.</t>
  </si>
  <si>
    <t>LBMC හි Stn.0+075 සිට Stn.0+200 දක්වා ඇළ මාර්ග රේඛාව ඉදිකිරීම.</t>
  </si>
  <si>
    <t>බලහරුව යෝජනා ක්‍රමයේ LBMC හි FC 01, FC02, FC 03, FC 04 සඳහා FTC ගේට්ටු සැපයීම.</t>
  </si>
  <si>
    <t>දෙහිඅත්තවල LBMC හි දිග බොක්කුව ඩී ඇළ (ඩී 2) වැඩිදියුණු කිරීම.</t>
  </si>
  <si>
    <t>කණ්ඩියපිට වැවෙහි RB හා FC 06 සඳහා වැඩිදියුණු කිරීම් RBMC</t>
  </si>
  <si>
    <t>හඟුනර පෝෂක ඇළ මාර්ගයේ නියාමක ගේට්ටු 02 ක් අලුත්වැඩියා කිරීම.</t>
  </si>
  <si>
    <t>හම්බෙගමුව යෝජනා ක්‍රමයේ LBMC හි FC 13 වැඩිදියුණු කිරීම්</t>
  </si>
  <si>
    <t>මාගන්දනඔය යෝජනා ක්‍රමයේ වාරක ව්‍යුහය සහ FTO ව්‍යුහය වැඩිදියුණු කිරීම.</t>
  </si>
  <si>
    <t>ගොවීන් දැනුවත් කිරීමේ වැඩසටහන පැවැත්වීම</t>
  </si>
  <si>
    <t>ගොවි සංවිධාන සංවර්ධනය සහ ගොවි ඵලදායිතාව සහ ලාභදායිතාවය වැඩසටහන</t>
  </si>
  <si>
    <t>ව්‍යාපෘති කළමනාකරණ කමිටුව පැවැත්විම</t>
  </si>
  <si>
    <t>ඒකක කාර්යාලය පිහිටුවීම සහ වැඩිදියුණු කිරීම</t>
  </si>
  <si>
    <t>හම්බෙගමුවෙහි සූර්යබල පද්ධතියක් සහ අලි වැටක් ඇතුළත් වැඩිදියුණු කිරීමේ ඒකක කාර්යාලය.</t>
  </si>
  <si>
    <t>මහවැව ඒකක කාර්යාලයේ වැඩිදියුණු කිරීම්</t>
  </si>
  <si>
    <t>කහකුරුල්ලන් පැලැස්සේ නව ඉදිකිරීම් ඒකක කාර්යාලයක්</t>
  </si>
  <si>
    <t>බිබිල හෙවෙල්වෙල ඒකක කාර්යාලය වැඩිදියුණු කිරීම.</t>
  </si>
  <si>
    <t>සද්ධාතිස්ස ඒකක කාර්යාලයේ වැඩිදියුණු කිරීම්</t>
  </si>
  <si>
    <t>ප්‍රධාන ගංගාවල ගංගා පැතිකඩ ස්ථාපිත කිරීම</t>
  </si>
  <si>
    <t>දුනුමාව පාලම අසල ගංගා පැතිකඩ ස්ථාපිත කිරීම. (දෙවන අදියර)</t>
  </si>
  <si>
    <t>හම්බෙගමුව වාන් මාර්ගය (මවු ආර) හි වාන් කෙළවර ඇළ මාර්ගය 0+750 සිට 1+500 දක්වා වැඩිදියුණු කිරීම.</t>
  </si>
  <si>
    <t>පිරිසිදු ගංගා වැඩසටහන</t>
  </si>
  <si>
    <t>සෙල්ලකතරගම සිට කතරගම දක්වා මැණික් ගඟ එළි පෙහෙළි කිරීම</t>
  </si>
  <si>
    <t>වැල්ලවාය නගරය ආසන්නයේ අලිකොට ආර, කිරිදිඔය, රදාපොළ ආර එළි පෙහෙළි කිරීම</t>
  </si>
  <si>
    <t>මවු ආර දිගේ ඇති බාධක ඉවත් කිරීම</t>
  </si>
  <si>
    <t>බුත්තල බඩල්කුඹුර මාර්ගයේ 5 කණුව පාලමේ මැණික් ගඟ වැඩිදියුණු කිරීම්</t>
  </si>
  <si>
    <t>ගල්ඔය ගඟේ බිබිලේ දෙහිඅත්තවල යෝජනා ක්‍රමයේ සිට්‍රස් බෝග පර්යේෂණ මධ්‍යස්ථානයේ ක්ලැරිං සහ බැමි ආරක්ෂණය</t>
  </si>
  <si>
    <t>කනුල්වෙල පාලමේ දෙහිඅත්තවල අමුණ අතර ඇති බාධක ඉවත් කිරීම සහ ගැටිති ඉවත් කිරීම.</t>
  </si>
  <si>
    <t>මාගන්දනඔය යෝජනා ක්‍රමයේ මාගන්දනඔය අමුණෙහි උඩුගං බලා ස්ථානය පිරිසිදු කිරීම</t>
  </si>
  <si>
    <t>ප්‍රජා දැනුවත් කිරීම වැඩසටහන</t>
  </si>
  <si>
    <t>කතරගම කොට්ඨාශයේ ගොවි සංවිධාන සහ පාසල් සිසුන් සඳහා දැනුවත් කිරීමේ වැඩසටහනක් පැවැත්වීම</t>
  </si>
  <si>
    <t>වැල්ලවාය කොට්ඨාශයේ ගොවි සංවිධාන සහ පාසල් සිසුන් සඳහා දැනුවත් කිරීමේ වැඩසටහනක් පැවැත්වීම.</t>
  </si>
  <si>
    <t>කණ්ඩියපිට කහකුරුල්ලන්පැලැස්ස සහ හම්බෙගමුව ගොවි සංවිධාන දැනුවත් කිරීමේ වැඩසටහන</t>
  </si>
  <si>
    <t>මොනරාගල කොට්ඨාශයේ යෝජනා ක්‍රමවල ගොවි සංවිධාන අතර ප්‍රජා දැනුවත් කිරීමේ වැඩසටහනක් පැවැත්වීම.</t>
  </si>
  <si>
    <t>බිබිල කොට්ඨාශයේ යෝජනා ක්‍රමවල ගොවි සංවිධාන අතර ප්‍රජා දැනුවත් කිරීමේ වැඩසටහනක් පැවැත්වීම.</t>
  </si>
  <si>
    <t>බැම්ම ආරක්ෂා කිරීමේ වැඩසටහන</t>
  </si>
  <si>
    <t>හුලංදාව  රත්නපිටිය පාලම අසල ගංවතුර පාලන කටයුතු සමඟ බැමි ආරක්ෂණය</t>
  </si>
  <si>
    <t>බදුලුඔය යෝජනා ක්‍රමයේ ගල්ඔය ගඟ සම්බන්ධ කරන බදුලුඔය ප්‍රධාන ඇළෙන් ජලය පිටාර ගැලීම වැළැක්වීම සඳහා මුදාගැනීමේ ආරක්ෂාව සැපයීම.</t>
  </si>
  <si>
    <t>ගල්ඔය ගඟේ කණුල්වෙල පාලම අසල ඛාදනය හේතුවෙන් බැමි ආරක්ෂාව සැපයීම.</t>
  </si>
  <si>
    <t>කුඹුක්කන ගඟේ වාන් ඇළ මාර්ගය 0+010 සිට 0+050 දක්වා රැඳවුම් බිත්ති ව්‍යුහයක් ඉදිකිරීම</t>
  </si>
  <si>
    <t>ඔය ගඟ තරණය කරන පාලමේ 0+284 ස්ථානයේ දෙපස රැඳවුම් බිත්තියක් ඉදිකිරීම.</t>
  </si>
  <si>
    <t>දෙටගමුව වාන් ඇළ මාර්ගයේ ඛාදනය වැළැක්වීමේ ව්‍යුහය</t>
  </si>
  <si>
    <t>වේලි ඔය යෝජනා ක්‍රමයේ මාලකඳුර ආර ඇක්‍රොස් වේලි ඔය ප්‍රධාන ඇළ මාර්ගයේ වැඩිදියුණු කිරීම්.</t>
  </si>
  <si>
    <t>මැණික් ගඟේ යුදගනාව වැවේ ඇළ මාර්ගය වැඩිදියුණු කිරීම.</t>
  </si>
  <si>
    <t>හඳපානාගල පෝෂක ඇළ මාර්ගයේ හඳපානාගල ඛාදනය වැළැක්වීමේ ව්‍යුහය. කිලෝමීටර 0+000</t>
  </si>
  <si>
    <t>බුත්තල යෝජනා ක්‍රමයේ LB බැම්ම බුත්තල අමුණ වැඩිදියුණු කිරීම.</t>
  </si>
  <si>
    <t>කිරිවෙහෙර මාර්ගය අසල මැණික් ගඟේ ඇළ මාර්ග ඛාදනය වැළැක්වීම.</t>
  </si>
  <si>
    <t>කුඹුක්කන් ඔය අමුණෙහි D/S හි පැනීමේ ව්‍යුහයේ LB පැති බැම්ම වැඩිදියුණු කිරීම.</t>
  </si>
  <si>
    <t>පැල්වත්ත යෝජනා ක්‍රමයේ මැද අරාව ඇළ මාර්ගය සහ පෙට්ටි බෝක්කුව වැඩිදියුණු කිරීම.</t>
  </si>
  <si>
    <t>FC 06 ප්‍රදේශයට ආසන්නව පිහිටි කොටියාගල වැවේ වාන් ඇළ මාර්ගයේ ගංවතුර ආරක්ෂණ බැම්ම වැඩිදියුණු කිරීම.</t>
  </si>
  <si>
    <t>හොරබොක්ක යෝජනා ක්‍රමයේ කුඩා ඔයේ - ගඟේ උඩඅරාව ප්‍රදේශයේ අක්කරේ පාලම අසල බැමි ආරක්ෂාව සඳහා රැඳවුම් පවුරක් ඉදිකිරීම.</t>
  </si>
  <si>
    <t>හුලංදාව යෝජනා ක්‍රමයේ හුලංදාව අමුණ D/S හි LB බැම්ම වැඩිදියුණු කිරීම.</t>
  </si>
  <si>
    <t>සියඹලාණ්ඩුව ගොවි ඉඩම් ප්‍රාදේශීය ලේකම් කාර්යාලයේ හැඩඔය බැම්ම ආරක්ෂාව වැඩිදියුණු කිරීම.</t>
  </si>
  <si>
    <t>මුතුකණ්ඩිය වැවේ වාන් D/S සඳහා වැඩි දියුණු කිරීම් මුතුකණ්ඩිය වැවේ</t>
  </si>
  <si>
    <t>වැලිවත්ත බිබිල දෙහිඅත්තවල යෝජනා ක්‍රමයේ එළිපෙහෙළි කිරීම සහ බැමි ආරක්ෂණය</t>
  </si>
  <si>
    <t>දහම්ඔය දුම්රිය ස්ථානයට ආසන්නව පිහිටි 3+700 LBMC මොනරවන යෝජනා ක්‍රමයට බැමි ආරක්ෂාව සැපයීම.</t>
  </si>
  <si>
    <t>ගංගා ද්‍රෝණි කළමනාකරණ වැඩසටහන</t>
  </si>
  <si>
    <t>යුදගනාව ඇළේ නාන පඩිපෙළ ඉදිකිරීම</t>
  </si>
  <si>
    <t>කහකුරුල්ලන් පැලැස්ස වාන් ඇළ වැඩිදියුණු කිරීම</t>
  </si>
  <si>
    <t>ගංවතුර හානි අලුත්වැඩියාවන්</t>
  </si>
  <si>
    <t>කණ්ඩියපිට වැවෙහි RBMC හි FC 12 සඳහා වැඩිදියුණු කිරීම්</t>
  </si>
  <si>
    <t>මොණරවාන RBMC හි 0+470 වීදියේ සිට ඇළ මාර්ගය ඉදිකිරීම.</t>
  </si>
  <si>
    <t>හුලංදාව යෝජනා ක්‍රමයේ හුලංදාව ප්‍රධාන ඇළ මාර්ගයේ 1+350 කෝසුව ඉදිකිරීම.</t>
  </si>
  <si>
    <t>කුකුරම්පොල යෝජනා ක්‍රමයේ Stn.0+350 හි වාන් ව්‍යුහය කඩා ඉවත් කිරීම සහ ප්‍රතිසංස්කරණය කිරීම.</t>
  </si>
  <si>
    <t>LBMC බන්ඩ් පාරේ FC 04 හි වැඩිදියුණු කිරීම්</t>
  </si>
  <si>
    <t>මොනරවාන ප්‍රධාන ඇළ මාර්ගයේ ඇළ මාර්ගය 4+000 සිට 4+113 දක්වා වැඩිදියුණු කිරීම.</t>
  </si>
  <si>
    <t>මුතුකණ්ඩිය යෝජනා ක්‍රමයේ FC-56 සඳහා වැඩිදියුණු කිරීම්</t>
  </si>
  <si>
    <t>බලහරුව එල්බීඑම්සී හි 0+350 අඩි පහළට ඇද වැටෙන ව්‍යුහයක් සහිත මීටර් 32 ක ඇළ මාර්ගයක් ඉදිකිරීම.</t>
  </si>
  <si>
    <t>මාගන්දනඔය යෝජනා ක්‍රමයේ ප්‍රධාන ඇළ මාර්ගයේ 4+950 සිට ඇළ මාර්ගයේ වැඩිදියුණු කිරීම්.</t>
  </si>
  <si>
    <t>LBMC පැල්වත්ත යෝජනා ක්‍රමයේ 0+300 මාර්ගයේ පෙට්ටි බෝක්කුව කඩා ඉවත් කිරීම සහ ප්‍රතිසංස්කරණය කිරීම.</t>
  </si>
  <si>
    <t>කුඹුක්කන යෝජනා ක්‍රමයේ කුඹුක්කන ප්‍රධාන ඇලෙහි 12+135 ස්ථානයේ රැඳවුම් බිත්ති ව්‍යුහය ඉදිකිරීම</t>
  </si>
  <si>
    <t>දිට්වා සුළි කුණාටුව හේතුවෙන් ගංවතුර හානි අලුත්වැඩියා කිරීම්</t>
  </si>
  <si>
    <t>ප්‍රධාන ඇළ මාර්ගයේ 2+900 වීදියේ R/W ව්‍යුහය කඩා ඉවත් කිරීම සහ ප්‍රතිසංස්කරණය කිරීම.</t>
  </si>
  <si>
    <t>දෙයියන්වෙල ඇල (D – 6) හි 1+000 වීදියේ R/W ව්‍යුහය කඩා ඉවත් කිරීම සහ ප්‍රතිසංස්කරණය කිරීම.</t>
  </si>
  <si>
    <t>යුදගනාව පෝෂක ඇළ පිවිසුම ප්‍රතිසංස්කරණය කිරීම.</t>
  </si>
  <si>
    <t>කුඹුක්කන අමුණ පුනරුත්ථාපනය කිරීම</t>
  </si>
  <si>
    <t>හුලන්දාව ප්‍රධාන ඇළේ 0 + 050 සහ 0 + 115 යන ස්ථානවල පිහිටි ගංගා නිම්න ව්‍යුහයන් කඩා ඉවත් කිරීම සහ ප්‍රතිසංස්කරණය කිරීම.</t>
  </si>
  <si>
    <t>හුලන්දාව ප්‍රධාන ඇළේ 0 + 600 මාර්ගයේ R/W ව්‍යුහය කඩා ඉවත් කිරීම සහ ප්‍රතිසංස්කරණය කිරීම.</t>
  </si>
  <si>
    <t>මුතුකණ්ඩිය ප්‍රධාන ඇළ මාර්ගයේ 12+750 මාර්ගයේ ප්‍රධාන ඇළ බැම්ම වැඩිදියුණු කිරීම.</t>
  </si>
  <si>
    <t>සද්ධාතිස්ස යෝජනා ක්‍රමයේ ප්‍රධාන ඇළ මාර්ගයේ බොරළු දැමීම.</t>
  </si>
  <si>
    <t>දෙහිඅත්තගහවල RBMC ඇළ මාර්ග බැම්මේ 1+600 සහ 3+650 වැඩිදියුණු කිරීම්</t>
  </si>
  <si>
    <t>0+500 මාර්ගයේ මඩ්ඩිපමුල්ල ඇළ මාර්ගයේ වැඩිදියුණු කිරීම්</t>
  </si>
  <si>
    <t>මොනරවාන අමුණෙහි RB අබට්මන්ට් වැඩිදියුණු කිරීම්</t>
  </si>
  <si>
    <t>වේලිඔය ප්‍රධාන ඇළ මාර්ගයේ 3+900, 7+805 සිට 8+100, 16+800, 17+700, 18+050, 18+700 සහ 19+000 සිට 19+040 දක්වා වැඩිදියුණු කිරීම්.</t>
  </si>
  <si>
    <t>වේලිඔය ප්‍රධාන ඇළ බැම්ම මාර්ගයේ 19+300 වීදියේ සිට 21+000 වීදිය දක්වා වැඩිදියුණු කිරීම්</t>
  </si>
  <si>
    <t>වේලිඔය ගඟේ නෙලුආර දිගේ බෝක්කු ව්‍යුහයේ වැඩිදියුණු කිරීම්.</t>
  </si>
  <si>
    <t>හම්බෙගමුව LBMC ස්ථානය 5+350 සිට 5+400 දක්වා සහ පට්ටිවෙලපැලැස්ස ඇළ මාර්ගය වැඩිදියුණු කිරීම.</t>
  </si>
  <si>
    <t>අඩි 0+055 සිට අඩි 0+225 දක්වා FC 8 හි වැඩිදියුණු කිරීම්</t>
  </si>
  <si>
    <t>0+400 මාර්ගයේ RB ඇළ මාර්ගයේ වැඩිදියුණු කිරීම්</t>
  </si>
  <si>
    <t>කහකුරුල්ලන්පැලැස්ස ප්‍රධාන ඇළ බැම්ම වැඩිදියුණු කිරීම. RBMC</t>
  </si>
  <si>
    <t>කහකුරුල්ලන්පැලැස්ස ආර්බී බැම්මේ  කෙළවර වැඩිදියුණු කිරීම් එල්බීඑම්සී</t>
  </si>
  <si>
    <t>ප්‍රධාන ඇළ මාර්ගයේ 0+000 සිට 0+090 දක්වා වැඩිදියුණු කිරීම්.</t>
  </si>
  <si>
    <t>දෙබර ආර LB ප්‍රධාන ඇල බැම්ම මාර්ගය වැඩිදියුණු කිරීම</t>
  </si>
  <si>
    <t>පහළට ගලා යන පිටාර ගැලීමේ LB පැත්තේ වැඩිදියුණු කිරීම්</t>
  </si>
  <si>
    <t>වැව් බැම්ම ප්‍රතිසංස්කරණය කිරීම 0+050 සිට 0+160 දක්වා</t>
  </si>
  <si>
    <t>අළුගල්ගේ ප්‍රධාන ඇළ මාර්ගයේ වැඩිදියුණු කිරීම් - මාර්ගය 0+458</t>
  </si>
  <si>
    <t>DC 08 ඇල බැම්මේ 0+000 සිට Stn. 0+050 දක්වා වැඩිදියුණු කිරීම්</t>
  </si>
  <si>
    <t>හඳපානාගල පිකප් අමුණ පුනරුත්ථාපනය කිරීම</t>
  </si>
  <si>
    <t>වාන්  ඇළේ ජලය වැටෙන මාර්ගයේ පෙට්ටි බෝක්කුව ප්‍රතිසංස්කරණය කිරීම</t>
  </si>
  <si>
    <t>මනන්පිටිය - පැල්වත්ත මාර්ගයේ කුඩා ඔය පාලමේ බැම්ම ප්‍රතිසංස්කරණය කිරීම.</t>
  </si>
  <si>
    <t>ප්‍රධාන ඇළ බැම්මේ 3+900 සිට 4+300 දක්වා වැඩිදියුණු කිරීම්</t>
  </si>
  <si>
    <t>කරවිල පෝෂක ඇළ මාර්ගයේ වැඩිදියුණු කිරීම් - 1+600 මාර්ගය</t>
  </si>
  <si>
    <t>අරවායාය ඇළ වේල්ලේ වැඩිදියුණු කිරීම්</t>
  </si>
  <si>
    <t>උඩවෙලයාය ඇළ වේල්ලේ වැඩිදියුණු කිරීම්</t>
  </si>
  <si>
    <t>දඹේ වැව යෝජනා ක්‍රමයේ ජුල්පිටිය ඇළේ ඛාදනයට ලක් වූ බැම්ම කොටස ප්‍රතිසංස්කරණය කිරීම.</t>
  </si>
  <si>
    <t>වේවෙලයාය ඇළ වේල්ලේ වැඩිදියුණු කිරීම්</t>
  </si>
  <si>
    <t>බදුලුඔය ප්‍රධාන ඇළ වැඩි දියුණු කිරීම. 11+450 සිට stn දක්වා. 12+600</t>
  </si>
  <si>
    <t>වේලි ඔය යෝජනා ක්‍රමයේ වේලි ඔය ප්‍රධාන ඇළ මාර්ගයේ 7+805 සිට 8+100 දක්වා, 3+900 දක්වා, 19+000 සිට 19+040 දක්වා ගල් කැට කැපීම.</t>
  </si>
  <si>
    <t>ප්‍රධාන මධ්‍යම වාරිමාර්ග යෝජනා ක්‍රමවල අත්‍යවශ්‍ය ප්‍රතිසංස්කරණය</t>
  </si>
  <si>
    <t>RBMC හදපානාගල යෝජනා ක්‍රමයේ FC 45 ඇළ මාර්ගය 0+225 සිට 0+850 දක්වා වැඩිදියුණු කිරීම.</t>
  </si>
  <si>
    <t>බලහරුව යෝජනා ක්‍රමයේ බලහරුව RB ප්‍රධාන ඇළ මාර්ගයේ 0+000 සිට 0+250 දක්වා FC -13 ඇළ මාර්ගයේ වැඩිදියුණු කිරීම්.</t>
  </si>
  <si>
    <t>සුදුපනාවෙල ප්‍රධාන ඇළ සුදුපනාවෙල යෝජනා ක්‍රමයේ 1+721 සහ 1+745 වීදියේ කැන්ටිලිවර් රැඳවුම් බිත්ති ව්‍යුහයන් ඉදිකිරීම.</t>
  </si>
  <si>
    <t>පැල්වත්ත යෝජනා ක්‍රමයේ මහවෙල-02 වැඩිදියුණු කිරීම්</t>
  </si>
  <si>
    <t>පැල්වත්ත යෝජනා ක්‍රමයේ පැල්වත්ත ප්‍රධාන ඇළ මාර්ගයේ මීටර් 125ක් දිග ඇළ මාර්ගයක් කිලෝමීටර 0+175 සිට කිලෝමීටර 0+300 දක්වා ඉදිකිරීම.</t>
  </si>
  <si>
    <t>හොරබොක්ක යෝජනා ක්‍රමයේ හොරබොක්ක ප්‍රධාන ඇළේ මීටර් 150ක් දිග ඇළ මාර්ගයක් කිලෝමීටර 1+950 සිට කිලෝමීටර 2+100 දක්වා ඉදිකිරීම.</t>
  </si>
  <si>
    <t>ඇතිමලේ යෝජනා ක්‍රමයේ ඇතිමලේ ප්‍රධාන ඇළ මාර්ගයේ 0+260 ස්ථානයේ ඇළ මාර්ග කාන්දුවීම් සහ රොන් මඩ ඉවත් කිරීමේ යන්ත්‍රය වැඩිදියුණු කිරීම.</t>
  </si>
  <si>
    <t>මුතුකණ්ඩිය යෝජනා ක්‍රමයේ fc 55 වෙත වැඩිදියුණු කිරීම්</t>
  </si>
  <si>
    <t>බුත්තල යෝජනා ක්‍රමයේ DC 05 හි 0+782 stn සිට 0+807 stn දක්වා මීටර් 27ක් දිග r/w කොටසේ හානියට පත් පෙදරේරු බිත්තිය කඩා ඉවත් කිරීම සහ ප්‍රතිසංස්කරණය කිරීම.</t>
  </si>
  <si>
    <t>කුඹුක්කන ප්‍රධාන ඇළේ 11+700 ස්ථානයේ නියාමකය ඉදිකිරීම.</t>
  </si>
  <si>
    <t>කුඹුක්කන යෝජනා ක්‍රමයේ දෙවන අදියර වන බණ්ඩාර ඇළ මාර්ගයේ 0+750 ස්ථානයේ මීටර් 10.0ක් දිග ආර්/ඩබ්ලිව් ව්‍යුහයක් ඉදිකිරීම.</t>
  </si>
  <si>
    <t>බුත්තල ප්‍රධාන ඇළ යෝජනා ක්‍රමයේ 2+400 stn සිට 2+435 stn දක්වා R/W පැත්තේ මීටර් 35ක් දිග ඉදිකිරීම.</t>
  </si>
  <si>
    <t>සුගලාදේවි යෝජනා ක්‍රමයේ FC 14 සඳහා වැඩිදියුණු කිරීම්</t>
  </si>
  <si>
    <t>හුන්දාව LB යෝජනා ක්‍රමයේ ප්‍රධාන ඇළ මාර්ගයේ 5+988 - 6+110.5 අතර මීටර් 78.5 ක් දිග ඇළ මාර්ගය කඩා ඉවත් කර ප්‍රතිසංස්කරණය කිරීම.</t>
  </si>
  <si>
    <t>බුත්තල යෝජනා ක්‍රමයේ 0+576 stn සිට 0+750 D2 ඇළ දක්වා මීටර් 174 ක් දිග ඇළ මාර්ගයක් ඉදිකිරීම.</t>
  </si>
  <si>
    <t>සුගලාදේවි හි FC 13 හි වැඩිදියුණු කිරීම්</t>
  </si>
  <si>
    <t>යුධගනාව යෝජනා ක්‍රමයේ D1 ඇළ මාර්ගයේ 0+563 සිට 0+687 දක්වා ඇළ මාර්ගය ඉදිකිරීම.</t>
  </si>
  <si>
    <t>මාගන්දන ඔය යෝජනා ක්‍රමයේ ප්‍රධාන ඇළ මාර්ගයේ 3+350 සිට 3+550 දක්වා ඇළ මාර්ගය වැඩිදියුණු කිරීම සහ 3+371 ඇල මාර්ගයට ප්‍රවේශ මාර්ගය වැඩිදියුණු කිරීම.</t>
  </si>
  <si>
    <t>මොනරවාන යෝජනා ක්‍රමයේ RBMC Stn.0+200 සිට Stn.0+300 දක්වා වැඩිදියුණු කිරීම්</t>
  </si>
  <si>
    <t>බදුලු ඔය වැවේ ප්‍රධාන ඇළ මාර්ගයේ 1+130in ඇල වාන් දැමීමේ D/S ප්‍රතිසංස්කරණය කිරීම.</t>
  </si>
  <si>
    <t>හම්බෙගමුව යෝජනා ක්‍රමයේ LBMC හි FC 16 හි වැඩිදියුණු කිරීම්</t>
  </si>
  <si>
    <t>හම්බෙගමුව යෝජනා ක්‍රමයේ එල්බී ප්‍රධාන ඇළේ 1+180 වීදියේ සිට 1+210 වීදිය දක්වා මීටර් 30ක් දිග රැඳවුම් පවුරක් ඉදිකිරීම.</t>
  </si>
  <si>
    <t>රදාපොල ප්‍රධාන ඇළ මාර්ගයේ 0+260, 2+130 සහ මලත්තවෙල රදපොල යෝජනා ක්‍රමයේ මලත්තවෙල ප්‍රධාන ඇළ මාර්ගයේ 0+850 යන ස්ථානවල නියාමක ව්‍යුහය සහ කැන්ටිලිවර් රැඳවුම් බිත්ති ව්‍යුහයන් ඉදිකිරීම.</t>
  </si>
  <si>
    <t>මොනරවාන යෝජනා ක්‍රමයේ ප්‍රධාන අමුණට පිවිසෙන මාර්ගය (ශේෂ දිග) වැඩිදියුණු කිරීම.</t>
  </si>
  <si>
    <t>දෙහිඅත්තවෙල යෝජනා ක්‍රමයේ කදිරතන ඩී ඇළ වැඩිදියුණු කිරීම.</t>
  </si>
  <si>
    <t>කුකුරම්පොල යෝජනා ක්‍රමයේ උඩඇළ 0+094 km සිට 0+157 km දක්වා ඇළ මාර්ගය ඉදිකිරීම.</t>
  </si>
  <si>
    <t>බලහරුව යෝජනා ක්‍රමයේ FC-03 ඇළ මාර්ගයේ වැඩිදියුණු කිරීම්</t>
  </si>
  <si>
    <t>වේලි ඔය ශාඛා ඇළ මාර්ගයේ 0+000 සිට 0+070 දක්වා මීටර් 55 ක් දිග ඇළ මාර්ගයක් සහ මීටර් 15 ක් දිග උමඟක් ඉදිකිරීම.</t>
  </si>
  <si>
    <t>හම්බෙගමුව යෝජනා ක්‍රමයේ LBMC හි FC 10 වැඩිදියුණු කිරීම්</t>
  </si>
  <si>
    <t>මුතුකණ්ඩිය යෝජනා ක්‍රමයේ FC - 39 හි 0+354 stn සිට 0+565 stn දක්වා ඇළ මාර්ගය ඉදිකිරීම.</t>
  </si>
  <si>
    <t>13+665 හි කුඹුක්කන ප්‍රධාන ඇළ මාර්ගයේ හරස් මාර්ගයට යටින් ජලාපවහනය සහිත ඇළ මාර්ග වාන් ව්‍යුහය කඩා ඉවත් කිරීම සහ ප්‍රතිසංස්කරණය කිරීම.</t>
  </si>
  <si>
    <t>මහවැව වාන් ඇළ මාර්ගයේ (ජම්බුගල් ආර) කෙළවරේ වැඩිදියුණු කිරීම්. 0+125 සිට 0+300 දක්වා.</t>
  </si>
  <si>
    <t>හම්බෙගමුව යෝජනා ක්‍රමයේ RBMC හි පට්ටිවෙලපැලැස්ස ඇළ වැඩිදියුණු කිරීම.</t>
  </si>
  <si>
    <t>කහකුරුල්ලන්පැලැස්ස යෝජනා ක්‍රමයේ කිලෝමීටර 1+100 සිට කිලෝමීටර 1+500 දක්වා RBMC මාර්ගයේ වැඩිදියුණු කිරීම්.</t>
  </si>
  <si>
    <t>දිස්ත්‍රික් ලේකම් කාර්යාලය මඟින් ප්‍රතිපාදන ලබාදිම</t>
  </si>
  <si>
    <t>මහවැව යෝජනා ක්‍රමයේ LB ප්‍රධාන ඇළ මාර්ගය වැඩිදියුණු කිරීම්</t>
  </si>
  <si>
    <t>පන්මල් අරාවෙහි මීටර් 25ක් දිග රැඳවුම් බැම්මක් සහ ඇළ මාර්ගයක් ඉදිකිරීම.</t>
  </si>
  <si>
    <t>දෙබර ආර ප්‍රධාන ඇළ බැම්ම මාර්ගයේ වැඩිදියුණු කිරීම්. දෙබර ආර යෝජනා ක්‍රමයේ කිලෝමීටර 0+000 සිට කිලෝමීටර 0+500 දක්වා.</t>
  </si>
  <si>
    <t>බුත්තල ප්‍රධාන ඇළේ DC-06 හි 0+275 සිට 0+302.5 දක්වා ස්ථානයේ පැති බැම්මක් ඉදිකිරීම.</t>
  </si>
  <si>
    <t>කණ්ඩියපිට LB වැවේ LB ප්‍රධාන ඇළ මාර්ගයේ LB පැත්තේ stn.0+000 සිට stn.0+030 දක්වා මීටර් 30ක් දිග පැති බැම්මක් ඉදිකිරීම.</t>
  </si>
  <si>
    <t>කන්ඩියපිට යෝජනා ක්‍රමයේ RBMC ටැංකියේ 0+600 සිට 0+830 දක්වා මීටර් 230ක් දිග ඇළ මාර්ගයක් ඉදිකිරීම.</t>
  </si>
  <si>
    <t>බදුලුඔය යෝජනා ක්‍රමයේ FC-07 ඇළ වැඩිදියුණු කිරීම</t>
  </si>
  <si>
    <t>මුතුකණ්ඩිය යෝජනා ක්‍රමයේ FC-12 සඳහා වැඩිදියුණු කිරීම්</t>
  </si>
  <si>
    <t>Stn හි ඇළ කන්ඩිය ඇල මාර්ගය වැඩිදියුණු කිරීම. (කුකුරම්පොළ යෝජනා ක්‍රමයේ 0+700)</t>
  </si>
  <si>
    <t>RBMC මහවැව FC 2 හි වැඩිදියුණු කිරීම්</t>
  </si>
  <si>
    <t>දෙහිඅත්තවල එල්බීඑම්සී යෝජනා ක්‍රමයේ 0+850 මාර්ගයේ ඇළ මාර්ග කාන්දුවීම් සහ ජලාපවහනය වැඩිදියුණු කිරීම.</t>
  </si>
  <si>
    <t>ඇතිමලේ යෝජනා ක්‍රමයේ 4+600 වීදියේ ඇළ මාර්ගය වාන් දැමීමේ ව්‍යාපෘති</t>
  </si>
  <si>
    <t>Stn හි නියාමක වයුහය ඉදිකිරීම. (0+260, ශාන්ත. 2+130 රදාපොල ප්‍රධාන ඇළ සහ  0+850 මල්වත්තවල ප්‍රධාන ඇළේ)</t>
  </si>
  <si>
    <t>මොනරවාන යෝජනා ක්‍රමයේ 2+041 LBMC මාර්ගයේ ඇළ මාර්ග කාන්දුව කඩා ඉවත් කිරීම සහ ප්‍රතිසංස්කරණය කිරීම.</t>
  </si>
  <si>
    <t>සුගලාදේවි යෝජනා ක්‍රමයේ D-01 සඳහා වැඩිදියුණු කිරීම්</t>
  </si>
  <si>
    <t>අළුගල්ගේ යෝජනා ක්‍රමයේ FC 05, FC 06, FC08 හි පෙට්ටි බෝක්කු ඉදිකිරීම.</t>
  </si>
  <si>
    <t>LBMC හම්බගමුව යෝජනා ක්‍රමයේ 4+500 සිට 5+500 දක්වා බැම්ම වැඩිදියුණු කිරීම.</t>
  </si>
  <si>
    <t>මාගන්දනඔය යෝජනා ක්‍රමයේ 3+621 සිට 3+725 දක්වා බැම්ම මාර්ගය වැඩිදියුණු කිරීම.</t>
  </si>
  <si>
    <t>යුදගනාව යෝජනා ක්‍රමයේ D-ඇළ මාර්ගයේ Stn.0+563 සිට Stn.0+687 දක්වා මීටර් 124.0ක් දිග ඇළ මාර්ගයක් ඉදිකිරීම.</t>
  </si>
  <si>
    <t>පැල්වත්ත යෝජනා ක්‍රමයේ පන්මල් අරාවෙහි ව්‍යුහයන් කඩා ඉවත් කිරීම සහ ප්‍රතිසංස්කරණය කිරීම</t>
  </si>
  <si>
    <t>RBMC මහවැව FC 1 හි වැඩිදියුණු කිරීම්</t>
  </si>
  <si>
    <t>මල්ලිපොත යෝජනා ක්‍රමයේ බැම්මේ (D/S) පාදයේ සොරොව්වේ සිට වාන් වලිග ඇළ දක්වා මල්ලිපොත නල මාර්ගයේ වැඩිදියුණු කිරීම්.</t>
  </si>
  <si>
    <t>සද්දාතිස්ස සොරොව්වේ දොරටුව සහ සොරොව් කුළුණ වැඩිදියුණු කිරීම සද්දාතිස්ස යෝජනා ක්‍රමයේ ආර්බී ඇළ</t>
  </si>
  <si>
    <t>බලහරුව එල්බීඑම්සී හි FC-03 ඇළ සඳහා වන සංවර්ධනය</t>
  </si>
  <si>
    <t>LBMC හම්බගමුව යෝජනා ක්‍රමයේ 5+500 සිට 6+500 දක්වා බැම්ම වැඩිදියුණු කිරීම.</t>
  </si>
  <si>
    <t>බදුලුඔය යෝජනා ක්‍රමයේ 10+400 වීදියේ ඇළ මාර්ග කාන්දුව වැඩිදියුණු කිරීම.</t>
  </si>
  <si>
    <t>කුඹුක්කන යෝජනා ක්‍රමයේ D1 ඇළ මාර්ගයේ බෙදාහැරීමේ ව්‍යුහය සහ හැරවුම් ව්‍යුහය ඉදිකිරීම.</t>
  </si>
  <si>
    <t>කණ්ඩියපිට යෝජනා ක්‍රමයේ 0+000 සිට 0+063 km දක්වා RBMC ටැංකියේ RBMC හි මීටර් 63ක් දිග ඇළ මාර්ගයක් ඉදිකිරීම.</t>
  </si>
  <si>
    <t>දෙහිඅත්තවල යෝජනා ක්‍රමයේ LBMC හි 3+970 වීදියේ පෙට්ටි බෝක්කුව ඉදිකිරීම.</t>
  </si>
  <si>
    <t>කොටියාගල යෝජනා ක්‍රමයේ FC 22 ඇළ වැඩිදියුණු කිරීම.</t>
  </si>
  <si>
    <t>සුදුපානාවෙල ප්‍රධාන ඇළේ 2+400 ස්ථානයේ මීටර් 20 ක නැවත පැති බැම්මක් ඉදිකිරීම.</t>
  </si>
  <si>
    <t>කන්ඩියපිට යෝජනා ක්‍රමයේ RBMC හි RBMC හි 0+810 ස්ථානයේ මීටර් 5ක් දිග පෙට්ටි බෝක්කුවක් සහ මීටර් 30ක් දිග ඇළ මාර්ගයක් ඉදිකිරීම.</t>
  </si>
  <si>
    <t>මොනරවාන යෝජනා ක්‍රමයේ 3+100 LBMC වීදියේ උඩින් හරස් මාර්ගයක් ඉදිකිරීම.</t>
  </si>
  <si>
    <t>බුත්තල යෝජනා ක්‍රමයේ 1+750 ස්ථානයේ D2 ඇළ යටතේ ජලාපවහන පිටවානක් ඉදිකිරීම.</t>
  </si>
  <si>
    <t>RBMC හඳපානාගල යෝජනා ක්‍රමයේ FC 45 හි Stn. 0+000 සිට 0+225 දක්වා වැඩිදියුණු කිරීම්.</t>
  </si>
  <si>
    <t>මහ වැව යෝජනා ක්‍රමයේ 0+125 සිට 0+625 දක්වා වාන්  ඇළ වැඩිදියුණු කිරීම.</t>
  </si>
  <si>
    <t>ප්‍රධාන ඇළ මාගන්දනාඔය යෝජනා ක්‍රමයේ 4+800 සිට වැඩිදියුණු කිරීමේ ඇළ</t>
  </si>
  <si>
    <t>ඇතිමලේ ප්‍රධාන ඇළේ 7+500 මාර්ගයේ ගේට්ටු නියාමකය ඉදිකිරීම.</t>
  </si>
  <si>
    <t>කරවිල ප්‍රධාන ඇළ මාර්ගවල LB සහ RB සොරොව් වැඩිදියුණු කිරීම.</t>
  </si>
  <si>
    <t>කන්ඩියපිට යෝජනා ක්‍රමයේ LB වැවේ RBMC හි 0+138 සිට 0+328 දක්වා මීටර් 190 ක් දිග ඇළ මාර්ගයක් ඉදිකිරීම.</t>
  </si>
  <si>
    <t>බදුලුඔය යෝජනා ක්‍රමයේ 6+400, 9+300 සහ 11+600 වීදිවල බෝක්කු ව්‍යුහය ඉදිකිරීම.</t>
  </si>
  <si>
    <t>යුදගනාව යෝජනා ක්‍රමයේ D-ඇළ මාර්ගයේ stn.1+092 සහ stn.1+169 හි  ජල වේගය අඩු කරන ඉංජිනේරු ව්‍යුහයන් වැඩිදියුණු කිරීම.</t>
  </si>
  <si>
    <t>RBMC මයිලගම යෝජනා ක්‍රමයේ 2+052 මාර්ගයේ ජල වේගය අඩු කරන ඉංජිනේරු ව්‍යුහය සහිත ඇළ මාර්ගය කඩා ඉවත් කිරීම සහ ප්‍රතිසංස්කරණය කිරීම.</t>
  </si>
  <si>
    <t>කන්ඩියපිට යෝජනා ක්‍රමයේ වැව් බැම්ම සහ ගල් රඳවනයන් වැඩිදියුණු කිරීම්</t>
  </si>
  <si>
    <t>දෙහිඅත්තවල යෝජනා ක්‍රමයේ RB ප්‍රධාන ඇළ මාර්ගය 3+800 සිට 4+700 දක්වා වැඩිදියුණු කිරීම.</t>
  </si>
  <si>
    <t>හුලන්දාව LB යෝජනා ක්‍රමයේ ප්‍රධාන ඇළ මාර්ගයේ stn.1+560 හි අගල ව්‍යුහයේ U/S සහ D/S ද්‍රෝණියේ වැඩිදියුණු කිරීම්.</t>
  </si>
  <si>
    <t>වෙහෙරකෙම වාන් දොරටු කඩා ඉවත් කිරීම සහ ප්‍රතිසංස්කරණය කිරීම</t>
  </si>
  <si>
    <t>චන්ද්‍රිකානුගේ වැවට වාරි ජලය සැපයීම සඳහා වේලිඔය ප්‍රධාන ඇළේ හැරවුම් ව්‍යුහයේ වැඩිදියුණු කිරීම්.</t>
  </si>
  <si>
    <t>මාගන්දනාඔය යෝජනා ක්‍රමයේ ප්‍රධාන ඇළ මාර්ගයේ 1+290 සිට ඇළ මාර්ගය වැඩිදියුණු කිරීම.</t>
  </si>
  <si>
    <t>මුතුකණ්ඩිය යෝජනා ක්‍රමයේ FC-16 සඳහා වැඩිදියුණු කිරීම්</t>
  </si>
  <si>
    <t>දෙටගමුව යෝජනා ක්‍රමයේ කිලෝමීටර 2ක් දිග ජලාපවහන ඇළ පද්ධතියේ රොන්මඩ ඉවත් කිරීම සහ බාධක ඉවත් කිරීම.</t>
  </si>
  <si>
    <t>වේලි ඔය යෝජනා ක්‍රමයේ කුඩා නෙටුල වැවේ LBMC ප්‍රධාන ඇළ මාර්ගයේ වැඩිදියුණු කිරීම්.</t>
  </si>
  <si>
    <t>බදුලුඔය යෝජනා ක්‍රමයේ 0+137 ස්ථානයේ ඇළ මාර්ග කාන්දුව වැඩිදියුණු කිරීම.</t>
  </si>
  <si>
    <t>සුගලාදේවි යෝජනා ක්‍රමයේ FC-08 සඳහා වැඩිදියුණු කිරීම්</t>
  </si>
  <si>
    <t>හැංගුනාරා හි සයිෆෝන් ව්‍යුහයේ නව කුණු කසල රාක්ක ප්‍රතිස්ථාපනය කිරීම, (සයිෆෝනයේ ඇති බාධක ඉවත් කිරීම ඇතුළුව.)</t>
  </si>
  <si>
    <t>වේලි ඔය යෝජනා ක්‍රමයේ ඇත්දත්ගල වැවේ RBMC ප්‍රධාන ඇළ මාර්ගයේ වැඩිදියුණු කිරීම්.</t>
  </si>
  <si>
    <t>RBMC දෙහිඅත්තවල යෝජනා ක්‍රමයේ 0+100 සිට ඇල වාන් දැමීමේ ස්ථාන වැඩිදියුණු කිරීම්.</t>
  </si>
  <si>
    <t>මුතුකණ්ඩිය යෝජනා ක්‍රමයේ FC-18 සඳහා වැඩිදියුණු කිරීම්</t>
  </si>
  <si>
    <t>ගලමුණ ප්‍රධාන ඇළ මාර්ගයේ 6+000 - 11+000 අතර රොන්මඩ ඉවත් කිරීම, ඇළ බැම්ම ප්‍රතිසංස්කරණය කිරීම ඇතුළුව.</t>
  </si>
  <si>
    <t>බෝගස්වැව වැව වේලි ඔය යෝජනා ක්‍රමයේ LBMC හි තෘණ ව්‍යුහයේ වැඩිදියුණු කිරීම්.</t>
  </si>
  <si>
    <t>බදුලුඔය යෝජනා ක්‍රමයේ 8+700 සිට 8+750 දක්වා මීටර් 50 ක ඇළ මාර්ගයක් ඉදිකිරීම.</t>
  </si>
  <si>
    <t>හුලන්දාව LB යෝජනා ක්‍රමයේ D-02 ඇළ මාර්ගයේ වැඩිදියුණු කිරීම්.</t>
  </si>
  <si>
    <t>හල්මිල්ලපිල්ලෑව යෝජනා ක්‍රමයේ හල්මිල්ලපිල්ලෑව ප්‍රධාන ඇළ මාර්ගයේ 3+870 මාර්ගයේ පෙට්ටි බෝක්කුව ඉදිකිරීම.</t>
  </si>
  <si>
    <t>වේලිඔය යෝජනා ක්‍රමයේ මුල් අන්දි ආර පාලම කඩා ඉවත් කිරීම සහ ඉදිකිරීම</t>
  </si>
  <si>
    <t>දෙහිඅත්තවල යෝජනා ක්‍රමයේ කදිරදෙන ඇළ වැඩිදියුණු කිරීම.</t>
  </si>
  <si>
    <t>යුදගනාව යෝජනා ක්‍රමයේ FC-08 සඳහා වැඩිදියුණු කිරීම්.</t>
  </si>
  <si>
    <t>Stn හි මීටර් 200 ඇළ මාර්ගයක් ඉදිකිරීම. (D1 ඇල මල්වත්තවෙල රදාපොල යෝජනා ක්‍රමයේ 0+000)</t>
  </si>
  <si>
    <t>වේලි ඔය යෝජනා ක්‍රමයේ ඇත්දත්ගල වැවේ ජලාපවහන ඇළ වැඩිදියුණු කිරීම.</t>
  </si>
  <si>
    <t>D 4 ඇල බදුලුඔය යෝජනා ක්‍රමයේ මීටර් 100ක් දිග ඇළ මාර්ගයක් ඉදිකිරීම. 0+200 සිට 0+300 දක්වා.</t>
  </si>
  <si>
    <t>ඇතිමලේ යෝජනා ක්‍රමයේ ඩෝසර් ටැංකි පිටවීම (D03 ඇළ පිවිසුම) සඳහා ආරක්ෂිත බිත්තිය</t>
  </si>
  <si>
    <t>සියඹලාගස් අමුණ අමුණ වැඩිදියුණු කිරීම</t>
  </si>
  <si>
    <t>දෙහිඅත්තවල යෝජනා ක්‍රමයේ පන්සලඅරාව ඇළ වැඩිදියුණු කිරීම.</t>
  </si>
  <si>
    <t>බුත්තල යෝජනා ක්‍රමයේ (D4/උප 02) යෝනමුල්ල යායේ ජලාපවහන ඇළ මාර්ගය වැඩිදියුණු කිරීම.</t>
  </si>
  <si>
    <t>stn හි වාන් ඇල වැඩි දියුණු කිරීම. ප්‍රධාන ඇළ මාගන්දනාඔය යෝජනා ක්‍රමයේ 0+341</t>
  </si>
  <si>
    <t>කොටියාගල යෝජනා ක්‍රමයේ FC 24 ඇළ වැඩිදියුණු කිරීම.</t>
  </si>
  <si>
    <t>මයිලගම - වෙහෙරකෙම ප්‍රධාන ඇළ මාර්ගයේ නියාමක ගේට්ටුව අලුත්වැඩියා කිරීම</t>
  </si>
  <si>
    <t>බදුලුඔය යෝජනා ක්‍රමයේ 10+200 සිට 10+250 දක්වා මීටර් 50 ක ප්‍රතිසංස්කරණ තාප්පයක් ඉදිකිරීම.</t>
  </si>
  <si>
    <t>කුඹුක්කන යෝජනා ක්‍රමයේ 15+250 මාර්ගයේ හානි වූ ඇළ මාර්ග වාන් ව්‍යුහයේ වැඩිදියුණු කිරීම්.</t>
  </si>
  <si>
    <t>බදුලුඔය යෝජනා ක්‍රමයේ stn.11+000 සිට 11+050 දක්වා මීටර් 50 ක ප්‍රතිසංස්කරණ තාප්පයක් ඉදිකිරීම.</t>
  </si>
  <si>
    <t>සද්දාතිස්ස සොරොව්වේ දොරටුව සහ සොරොව් කුළුණ වැඩිදියුණු කිරීම සද්දාතිස්ස lb ඇළ යෝජනා ක්‍රමය</t>
  </si>
  <si>
    <t>RBMC මයිලගම යෝජනා ක්‍රමයේ 0+100 - 1+000 අතර ප්‍රමාණයකින් රොන්මඩ ඉවත් කිරීම.</t>
  </si>
  <si>
    <t>බදුලුඔය යෝජනා ක්‍රමයේ ඇළ මාර්ගය 9+300 සිට 9+400 දක්වා වැඩිදියුණු කිරීම.</t>
  </si>
  <si>
    <t>සද්ධාතිස්ස යෝජනා ක්‍රමයේ FC-07 ඇළ මාර්ගයේ වැඩිදියුණු කිරීම්</t>
  </si>
  <si>
    <t>යැංගුනාර 0+150 හි ඇළ මාර්ග කාන්දුව කඩා ඉවත් කිරීම සහ ප්‍රතිසංස්කරණය කිරීම.</t>
  </si>
  <si>
    <t>බදුලුඔය යෝජනා ක්‍රමයේ 9+500 සිට 10+000 දක්වා බැමි පිරවීම</t>
  </si>
  <si>
    <t>කුඹුක්කන යෝජනා ක්‍රමයේ D-09 ඇළ මාර්ගයේ හානියට පත් කැපුම් බැම්ම වැඩිදියුණු කිරීම.</t>
  </si>
  <si>
    <t>හල්මිල්ලපිල්ලෑව පෝෂක ඇළේ ඇළ මාර්ගය ආවරණය කරන ලද පෙට්ටි බෝක්කුව කඩා ඉවත් කිරීම සහ ප්‍රතිසංස්කරණය කිරීම.</t>
  </si>
  <si>
    <t>බදුලුඔය යෝජනා ක්‍රමයේ D2 ඇළ වැඩිදියුණු කිරීම</t>
  </si>
  <si>
    <t>ඇතිමලේ යෝජනා ක්‍රමයේ ඩෝසර් ටැංකියේ සොරොව්ව (D2) කාන්දුව සඳහා නැවත ඉදිකිරීම් කටයුතු.</t>
  </si>
  <si>
    <t>බලහරුව යෝජනා ක්‍රමයේ LBMC හි FC 01, FC02, FC 03, FC 04 සඳහා FTO ගේට්ටු සැපයීම.</t>
  </si>
  <si>
    <t>යුදගනාව යෝජනා ක්‍රමයේ ප්‍රධාන ඇළ මාර්ගයේ 1+015 මාර්ගයේ පෙට්ටි බෝක්කුව කඩා ඉවත් කිරීම සහ ප්‍රතිසංස්කරණය කිරීම.</t>
  </si>
  <si>
    <t>මයිලගම වැවේ වාන් මාර්ගය ප්‍රතිසංස්කරණය කිරීම</t>
  </si>
  <si>
    <t>යුදගනාව යෝජනා ක්‍රමයේ ප්‍රධාන ඇළ මාර්ගයේ 5+900 stn හි අගල ව්‍යුහය කඩා ඉවත් කිරීම සහ ප්‍රතිසංස්කරණය කිරීම.</t>
  </si>
  <si>
    <t>පාසල් මාර්ගය සඳහා කිලෝමීටර 0+375 ක දුරින් පලුගස්මඩ RB ඇළ සඳහා පතුල සහිත පෙට්ටි බෝක්කුවක් ඉදිකිරීම.</t>
  </si>
  <si>
    <t>මුතුකණ්ඩිය යෝජනා ක්‍රමයේ FC-21 සඳහා වැඩිදියුණු කිරීම්</t>
  </si>
  <si>
    <t>බලහරුව එල්බීඑම්සී හි 0+300 හැරවුම් ව්‍යුහයන් FC 03 හි වැඩිදියුණු කිරීම්</t>
  </si>
  <si>
    <t>සුගලාදේවි යෝජනා ක්‍රමයේ FC-10 සඳහා වැඩිදියුණු කිරීම්</t>
  </si>
  <si>
    <t>මුතුකණ්ඩිය යෝජනා ක්‍රමයේ FC-23 සඳහා වැඩිදියුණු කිරීම්</t>
  </si>
  <si>
    <t>හුලංදාව LB යෝජනා ක්‍රමයේ FC-06 සඳහා වැඩිදියුණු කිරීම්</t>
  </si>
  <si>
    <t>යුදගනාව යෝජනා ක්‍රමයේ FC-13 සඳහා වැඩිදියුණු කිරීම්.</t>
  </si>
  <si>
    <t>එල්බී ප්‍රධාන ඇළ මහවැව යෝජනා ක්‍රමය වැඩිදියුණු කිරීම</t>
  </si>
  <si>
    <t>RB ප්‍රධාන ඇළ මහවැව යෝජනා ක්‍රමය ඔස්සේ 0+300 සිට 0+360 දක්වා ඇළ මාර්ගය ඉදිකිරීම.</t>
  </si>
  <si>
    <t>මහවැව යෝජනා ක්‍රමයේ RBMC හි FC-4 වැඩිදියුණු කිරීම්.</t>
  </si>
  <si>
    <t>පැල්වත්ත යෝජනා ක්‍රමයේ දික්අරාව 2+410 වීදියේ සිට 2+560 වීදිය දක්වා මීටර් 150ක් දිග RW ඉදිකිරීම.</t>
  </si>
  <si>
    <t>කුකුරම්පොල යෝජනා ක්‍රමයේ කොස් ඇට අරාව හි ප්‍රධාන ඇළේ 0+860 වීදියේ සිට 0+952 LB පැත්ත දක්වා මීටර් 90ක් දිග RW ඉදිකිරීම.</t>
  </si>
  <si>
    <t>කුකුරම්පොල යෝජනා ක්‍රමයේ දොරවෙල යායේ 0+742 වීදියේ සිට 0+842 වීදිය දක්වා මීටර් 100 ක් දිග ඇළ මාර්ගය වැඩිදියුණු කිරීම.</t>
  </si>
  <si>
    <t>දෙබර ආර ප්‍රධාන ඇළ මාර්ගයේ 0+000 සිට 0+500 දක්වා මාර්ගය වැඩිදියුණු කිරීම. (දෙබර ආර FC10)</t>
  </si>
  <si>
    <t>සුදුපානාවල යෝජනා ක්‍රමයේ 3+215 සිට 3+345 දක්වා ඇල මාර්ගය කඩා ඉවත් කිරීම සහ ප්‍රතිසංස්කරණය කිරීම.</t>
  </si>
  <si>
    <t>බලහරුව යෝජනා ක්‍රමයේ බලහරුව වැවේ FC3 RBMC වැඩිදියුණු කිරීම</t>
  </si>
  <si>
    <t>පැල්වත්ත යෝජනා ක්‍රමයේ 0+480 RB ප්‍රධාන ඇළ මාර්ගයේ ප්‍රවේශ මාර්ගයක් සහිත පෙට්ටි බෝක්කුවක් ඉදිකිරීම.</t>
  </si>
  <si>
    <t>හඳපානාගල LBMC සහ RBMC වල ජලජ ශාක ඉවත් කිරීම.</t>
  </si>
  <si>
    <t>කුකුරම්පොල යෝජනා ක්‍රමයේ කිලෝමීටර 0+350 ක දුරින් පිහිටි වාන් වාන් ව්‍යුහය කඩා ඉවත් කිරීම සහ ප්‍රතිසංස්කරණය කිරීම.</t>
  </si>
  <si>
    <t>මුතුකණ්ඩිය යෝජනා ක්‍රමයේ FC 53 සඳහා වැඩිදියුණු කිරීම්</t>
  </si>
  <si>
    <t>FC 01 ඇළ මුතුකණ්ඩිය යෝජනා ක්‍රමය වැඩිදියුණු කිරීම</t>
  </si>
  <si>
    <t>මුතුකණ්ඩිය13+075 ස්ථානයේ සිට 13+175 දුම්රිය ස්ථානය දක්වා මීටර් 100 ක ඇළ මාර්ගයක් ඉදිකිරීම.</t>
  </si>
  <si>
    <t>මහ වැව යෝජනා ක්‍රමයේ RB ප්‍රධාන ඇළ මාර්ගය 0+115 සිට 0+330 දක්වා වැඩිදියුණු කිරීම.</t>
  </si>
  <si>
    <t>මාර්ග නඩත්තුව සහ වැඩිදියුණු කිරීම</t>
  </si>
  <si>
    <t>මහවැවේ LBMC බැම්ම මාර්ගය 0+500 සිට 0+660 දක්වා වැඩිදියුණු කිරීම්</t>
  </si>
  <si>
    <t>බදුලුඔය වැවේ ප්‍රවේශ මාර්ගය වැඩිදියුණු කිරීම</t>
  </si>
  <si>
    <t>දඹේ වැවේ යෝජනා ක්‍රමයේ LB ප්‍රධාන ඇළ බැම්ම මාර්ගය ප්‍රතිසංස්කරණය කිරීම.</t>
  </si>
  <si>
    <t>සුගලාදේවි යෝජනා ක්‍රමයේ සුගලාදේවි ප්‍රධාන ඇළ මාර්ගයේ 0+750 සිට 1+750 දක්වා බොරළු දැමීමේ ප්‍රධාන ඇළ බැම්ම මාර්ගය.</t>
  </si>
  <si>
    <t>බදුලුඔය යෝජනා ක්‍රමයේ 11+600 සිට 12+600 දක්වා ගල් කැට සහ බැමි පිරවීම.</t>
  </si>
  <si>
    <t>Stn හි R/W ව්‍යුහය කඩා ඉවත් කිරීම සහ ප්‍රතිසංස්කරණය කිරීම. 0+300 හකුරුසියබලාව ඇළ D – ඇල (D – 3)</t>
  </si>
  <si>
    <t>කුඹුක්කන අමුණෙහි මේන් හි 3 + 050 වීදියේ R/W ව්‍යුහය කඩා ඉවත් කිරීම සහ ප්‍රතිසංස්කරණය කිරීම.</t>
  </si>
  <si>
    <t>Stn හි වැඩිදියුණු කිරීම්. 0 + 980 බණ්ඩාර ඇල II අදියරේ කුඹුක්කන අමුණ</t>
  </si>
  <si>
    <t>දෙහිඅත්තවල LBMC ස්ථානයේ වැඩිදියුණු කිරීම් 0+010</t>
  </si>
  <si>
    <t xml:space="preserve"> ඇතිමලේ ප්‍රධාන ඇළ බැම්ම වැඩිදියුණු කිරීම 2+ 600</t>
  </si>
  <si>
    <t>මාගන්දන ඔය යෝජනා ක්‍රමයේ ප්‍රධාන ඇළේ රැඳවුම් බැම්ම කඩා ප්‍රතිසංස්කරණය කිරීම</t>
  </si>
  <si>
    <t xml:space="preserve"> මාගන්දනඔය ප්‍රධාන ඇළ වැඩිදියුණු කිරීම. 4+400</t>
  </si>
  <si>
    <t>ගොවිපල ඡන්ද විමසීමේ දොරටු සැපයීම දෙබර ආර LB සහ RB ඇළ මාර්ග</t>
  </si>
  <si>
    <t>LBMC මයිලගම යෝජනා ක්‍රමයේ 1+250 - 1+400 වීදියේ සිට මීටර් 150ක් දිග ඇළ මාර්ගයක් ඉදිකිරීම.</t>
  </si>
  <si>
    <t>මහවැව FC 01 බන්ඩ් පාරේ වැඩිදියුණු කිරීම්</t>
  </si>
  <si>
    <t>මල්වත්තාවල රදාපොළ යෝජනා ක්‍රමයේ රදපොළ ප්‍රධාන ඇළ මාර්ගය, අග 07, දිසාපති 02 හි 0+000 සිට 0+100 දක්වා ඇළ මාර්ග රේඛාවක් ඉදිකිරීම.</t>
  </si>
  <si>
    <t>මාගන්දාඔය යෝජනා ක්‍රමයේ ප්‍රධාන ඇළ මාර්ගයේ 3+621 මාර්ගයේ අගල ව්‍යුහය වැඩිදියුණු කිරීම.</t>
  </si>
  <si>
    <t>මුතුකණ්ඩිය යෝජනා ක්‍රමයේ ප්‍රධාන ඇළ මාර්ගයේ 7+350 stn හි රැඳවුම් බැම්ම ඉදිකිරීම.</t>
  </si>
  <si>
    <t>මොනරවාන LBMC හි ප්‍රධාන ඇළ මාර්ගයේ 1+395 stn සිට 1+410 stn දක්වා මායිම් කර ඇති ඇළ මාර්ගය වැඩිදියුණු කිරීම.</t>
  </si>
  <si>
    <t xml:space="preserve"> පිටාර ගැලීමේ ජලාපවහන පද්ධතිය සහ ජලාපවහන පද්ධතිය වැඩිදියුණු කිරීම.</t>
  </si>
  <si>
    <t>කන්ඩියපිට යෝජනා ක්‍රමයේ LB වැවේ ප්‍රධාන ඇළ මාර්ගයේ FC 1 A හි වලිග කෙළවරේ ජලාපවහන ඇළ මාර්ගයේ වැඩිදියුණු කිරීම්. 0+000 සිට 0+128 දක්වා.</t>
  </si>
  <si>
    <t>හම්බෙගමුව වාන් ඇල වැඩි දියුණු කිරීම. 0+750 සිට stn දක්වා. (හම්බෙගමුව යෝජනා ක්‍රමයේ 1+500)</t>
  </si>
  <si>
    <t>බදුලුඔය වාන් ඇළ මාර්ගයේ වැඩිදියුණු කිරීම්</t>
  </si>
  <si>
    <t>දඹේවැව පෝෂක ඇළ වැඩිදියුණු කිරීම</t>
  </si>
  <si>
    <t>මොනරවාන LBMC හි 0+710 සහ 1+200 දක්වා ඇළ දොළ පහළට වාන් ඇළ මාර්ග වැඩිදියුණු කිරීම්.</t>
  </si>
  <si>
    <t>මුතුකණ්ඩිය වැවේ වාන් ඇලෙහි හැඩඔය දෙමෝදර ප්‍රදේශයේ වැඩිදියුණු කිරීම් ඛාදන අංශය</t>
  </si>
  <si>
    <t>දෙබරආර පෝෂක ඇළ වැඩිදියුණු කිරීම</t>
  </si>
  <si>
    <t>ගොඩනැගිලි නඩත්තු කිරීම සහ වැඩිදියුණු කිරීම</t>
  </si>
  <si>
    <t>කාර්යාල පරිශ්‍රයේ කාර්යාල ගොඩනැගිලි අලුත්වැඩියා කිරීම</t>
  </si>
  <si>
    <t>මොනරාගල කොට්ඨාශයේ DIE කාර්යාල පරිශ්‍රයේ IDQ - 06 වැඩිදියුණු කිරීම්.</t>
  </si>
  <si>
    <t>කාර්යාල ගොඩනැගිල්ලේ වැඩිදියුණු කිරීම්</t>
  </si>
  <si>
    <t>බිබිල කාර්යාලයේ සාද නිවාසය සහ ගබඩා පරිශ්‍රයේ වැඩිදියුණු කිරීම</t>
  </si>
  <si>
    <t>කාර්ය මණ්ඩලය සඳහා වැසිකිළියක් ඉදිකිරීම</t>
  </si>
  <si>
    <t>බිබිලේ IDQ 09 නිල නිවාස සඳහා වැඩිදියුණු කිරීම්</t>
  </si>
  <si>
    <t>IDQ 05 නිල නිවාස සඳහා වැඩිදියුණු කිරීම්</t>
  </si>
  <si>
    <t>මොනරාගල කොට්ඨාශයේ DIE කාර්යාල පරිශ්‍රයේ IDQ 16 සහ IDQ- 17 ද්විත්ව නිල නිවාස වැඩිදියුණු කිරීම්.</t>
  </si>
  <si>
    <t>හදිසි යටිතල පහසුකම් ප්‍රතිසංස්කරණ කටයුතු ඇතුළුව ප්‍රධාන මධ්‍යම වාරිමාර්ග යෝජනා ක්‍රම ප්‍රතිසංස්කරණය කිරීම.</t>
  </si>
  <si>
    <t>කොටියාගල යෝජනා ක්‍රමයේ FC 26 ඇළ වැඩිදියුණු කිරීම.</t>
  </si>
  <si>
    <t>ජල පිරිපහදු පද්ධතියේ වැඩිදියුණු කිරීම්</t>
  </si>
  <si>
    <t>සම්ප්‍රේෂණ හා බෙදා හැරීම් නල පද්ධතියේ වැඩි දියුණු කිරීම්</t>
  </si>
  <si>
    <t>යාන්ත්‍රික හා විදුලි පද්ධතියේ අලුත්වැඩියා කිරීම්</t>
  </si>
  <si>
    <t>තුළුමුව (intake) වැඩිදියුණු කිරීම හා වලවේ ගඟ හරහා වේල්ල (weir) ඉදිකිරීම</t>
  </si>
  <si>
    <t>තුළුමුව (intake) වැඩිදියුණු කිරීම</t>
  </si>
  <si>
    <t>නව ජල පිරිපහදු ඒකකයක් ඉදි කිරීම (1000 cum/day Package Type WTP)</t>
  </si>
  <si>
    <t>මැදගම නගරයේ නිෂ්පාදිත නළ ලිද (borehole) සඳහා නව පූර්ණ පිරිපහදු පද්ධතියක් ඉදි කිරීම (iron removel plant)</t>
  </si>
  <si>
    <t>අලු පොත නිෂ්පාදිත නළ ලිද (borehole) සඳහා නව පිරිපහදු පද්ධතියක් ඉදි කිරීම (iron removel plant)</t>
  </si>
  <si>
    <r>
      <t xml:space="preserve">බඩල් කුඹුර ජල සම්පාදන ව්‍යාපෘතිය යටතේ ඝ.මී. </t>
    </r>
    <r>
      <rPr>
        <sz val="11"/>
        <color theme="1"/>
        <rFont val="Calibri"/>
        <family val="2"/>
        <scheme val="minor"/>
      </rPr>
      <t>2000</t>
    </r>
    <r>
      <rPr>
        <sz val="11"/>
        <color theme="1"/>
        <rFont val="Iskoola Pota"/>
        <family val="2"/>
      </rPr>
      <t xml:space="preserve"> ක පූර්ණ ජල පිරිපහදු ඒකකයක් ඉදි කිරීම හා ජල නල එළීම.</t>
    </r>
  </si>
  <si>
    <t>යාලබෝව ජල පිරිපහදු පද්ධතියේ වැඩිදියුණු කිරීම්</t>
  </si>
  <si>
    <t>යාලබෝව තුළුමුව (intake) වැඩිදියුණු කිරීම</t>
  </si>
  <si>
    <t>වැල්ලවාය අදියර -1  ජල සම්පාදන ක්‍රමය යටතේ ඝ. මී. 5000 ක ජල පිරිපහදු ඒකකයක් ඉදි කිරීම හා ජල නල එළීම.</t>
  </si>
  <si>
    <t>ජල පිරිපහදු පද්ධතියේ වැඩිදියුණු කිරීම් (අප ජල ප්‍රතිචක්‍රීකරණ ටැංකිය)</t>
  </si>
  <si>
    <t>බෙදා හැරීම් නල පද්ධතියේ වැඩි දියුණු කිරීම් (ආනපල්ලම ප්‍රදේශයේ)</t>
  </si>
  <si>
    <t>ජල පිරිපහදු පද්ධතියේ හා කාර්යාලයේ වැඩිදියුණු කිරීම්</t>
  </si>
  <si>
    <t>බෙදා හැරීම් නල පද්ධතියේ වැඩි දියුණු කිරීම්</t>
  </si>
  <si>
    <t>මොනරාගල G-lone ජල පිරිපහදු ඒකකය පූර්ණ පිරිපහදු ඒකකයක් දක්වා වැඩිදියුණු කිරීම</t>
  </si>
  <si>
    <t>බෝහිටිය නිෂ්පාදිත නළ ලිද (borehole) සඳහා නව පිරිපහදු පද්ධතියක් ඉදි කිරීම (iron removel plant)</t>
  </si>
  <si>
    <t xml:space="preserve">විසල් මොණරාගල ජල සම්පාදන ව්‍යාපෘතිය මඟින් මොණරාගල නගරයේ එලා ඇති පැරණි කාන්දුවන ජලනල ප්‍රතිස්ථාපනය කිරීම.  </t>
  </si>
  <si>
    <t>නව ජල පිරිපහදු ඒකකයක් මල්ලිපොත ජලාශය ආශ්‍රිතව ඉදි කිරීම (2000 cum/day Package Type WTP)</t>
  </si>
  <si>
    <t>ජල පිරිපහදු පද්ධතියේ වැලි පෙරණ වල වැඩිදියුණු කිරීම්</t>
  </si>
  <si>
    <t>කිරිඉබ්බන්වැව ජලාශය ආශ්‍රිතව නව පූර්ණ ජල පිරිපහදු ඒකකයක් ඉදි කිරීම (4000 cum/day WTP)</t>
  </si>
  <si>
    <t>නව ජල පිරිපහදු ඒකකයක් ඉදි කිරීම (1500 cum/day Package Type WTP)</t>
  </si>
  <si>
    <t xml:space="preserve">විසල් මොණරාගල ජල ව්‍යාපෘතිය යටතේ සම්ප්‍රේෂණ හා බෙදා හැරීම් නල පද්ධතියේ ජල නල එළීම. </t>
  </si>
  <si>
    <t>අයිස්පිල්ල හා බුත්තල ජල පිරිපහදු ඒකක වැඩිදියුණු කිරීම</t>
  </si>
  <si>
    <t>නිවාස, ඉදිකිරිම් හා ජල සම්පාදන අමාත්‍යාංශය / මාණ්ඩලීය අරමුදල්</t>
  </si>
  <si>
    <t>සෙවනගල ජල සම්පාදන ක්‍රමය</t>
  </si>
  <si>
    <t>ඔක්කම්පිටිය ජල සම්පාදන ක්‍රමය</t>
  </si>
  <si>
    <t>මැදගම ජල සම්පාදන ක්‍රමය</t>
  </si>
  <si>
    <t>බඩල්කුඹුර ජල සම්පාදන ක්‍රමය</t>
  </si>
  <si>
    <t>නිවාස, ඉදිකිරිම් හා ජල සම්පාදන අමාත්‍යාංශය / රාජ්‍ය ආයෝජන වැඩසටහන</t>
  </si>
  <si>
    <t>තණමල්විල ජල සම්පාදන ක්‍රමය</t>
  </si>
  <si>
    <t>වැල්ලවාය ජල සම්පාදන ක්‍රමය</t>
  </si>
  <si>
    <t>මොනරාගල ජල සම්පාදන ක්‍රමය</t>
  </si>
  <si>
    <t>සියඹලාණ්ඩුව ජල සම්පාදන ක්‍රමය</t>
  </si>
  <si>
    <t>විසල් මොණරාගල ජල සම්පාදන ව්‍යාපෘතිය යටතේ සියඹලාණ්ඩුව ජල සම්පාදන ක්‍රමය දොඹගහවෙල දක්වා දීර්ඝ කිරීම.</t>
  </si>
  <si>
    <t xml:space="preserve">බිබිල ජල සම්පාදන ක්‍රමය </t>
  </si>
  <si>
    <t>සුරියආර ජලසම්පාදන ක්‍රමය</t>
  </si>
  <si>
    <t>හම්බෙගමුව ජල සම්පාදන ව්‍යාපෘතිය</t>
  </si>
  <si>
    <t>තණමල්විල සෙවනගල ව්‍යාපෘතිය (ප්‍රතිපාදන වෙන් කර නොමැත. සැලසුම් සකස් කරමින් පවති.)</t>
  </si>
  <si>
    <t>බුත්තල දෙවන අදියර ව්‍යාපෘතිය (ප්‍රතිපාදන වෙන් කර නොමැත. සැලසුම් සකස් කරමින් පවති.)</t>
  </si>
  <si>
    <t>සියඹලාණුඩුව මඩුල්ල ව්‍යාපෘතිය (ප්‍රතිපාදන වෙන් කර නොමැත. සැලසුම් සකස් කරමින් පවති.)</t>
  </si>
  <si>
    <t>මැදගම දෙවන අදියර ව්‍යාපෘතිය (ප්‍රතිපාදන වෙන් කර නොමැත. සැලසුම් සකස් කරමින් පවති.)</t>
  </si>
  <si>
    <t>සෙවනගල ප්‍රා.ලේ. කොට්ඨාසය</t>
  </si>
  <si>
    <t>1</t>
  </si>
  <si>
    <t>2</t>
  </si>
  <si>
    <t>3</t>
  </si>
  <si>
    <t>4</t>
  </si>
  <si>
    <t>5</t>
  </si>
  <si>
    <t>‍6</t>
  </si>
  <si>
    <t>7</t>
  </si>
  <si>
    <t>8</t>
  </si>
  <si>
    <t>9</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</si>
</sst>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000"/>
    <numFmt numFmtId="165" formatCode="0.0"/>
  </numFmts>
  <fonts count="30">
    <font>
      <sz val="11"/>
      <color theme="1"/>
      <name val="Calibri"/>
      <family val="2"/>
      <scheme val="minor"/>
    </font>
    <font>
      <sz val="12"/>
      <color theme="1"/>
      <name val="Calibri"/>
      <family val="2"/>
      <scheme val="minor"/>
    </font>
    <font>
      <u/>
      <sz val="16"/>
      <color theme="1"/>
      <name val="Calibri"/>
      <family val="2"/>
      <scheme val="minor"/>
    </font>
    <font>
      <i/>
      <sz val="11"/>
      <color theme="1"/>
      <name val="Calibri"/>
      <family val="2"/>
      <scheme val="minor"/>
    </font>
    <font>
      <b/>
      <i/>
      <sz val="11"/>
      <color theme="1"/>
      <name val="Calibri"/>
      <family val="2"/>
      <scheme val="minor"/>
    </font>
    <font>
      <sz val="11"/>
      <color theme="1"/>
      <name val="Iskoola Pota"/>
      <family val="2"/>
    </font>
    <font>
      <b/>
      <sz val="11"/>
      <color theme="1"/>
      <name val="Calibri"/>
      <family val="2"/>
      <scheme val="minor"/>
    </font>
    <font>
      <sz val="11"/>
      <color theme="1"/>
      <name val="Calibri"/>
      <family val="2"/>
      <scheme val="minor"/>
    </font>
    <font>
      <sz val="11"/>
      <name val="Calibri"/>
      <family val="2"/>
      <scheme val="minor"/>
    </font>
    <font>
      <sz val="11"/>
      <color rgb="FF1F1F1F"/>
      <name val="Inherit"/>
    </font>
    <font>
      <sz val="11"/>
      <color theme="1"/>
      <name val="Calibri"/>
      <family val="2"/>
    </font>
    <font>
      <sz val="11"/>
      <color rgb="FF000000"/>
      <name val="Calibri"/>
      <family val="2"/>
    </font>
    <font>
      <sz val="11"/>
      <name val="Calibri"/>
      <family val="2"/>
    </font>
    <font>
      <sz val="11"/>
      <name val="Iskoola Pota"/>
      <family val="2"/>
    </font>
    <font>
      <sz val="11"/>
      <name val="Inherit"/>
    </font>
    <font>
      <sz val="11"/>
      <name val="Iskoola Pota"/>
      <family val="2"/>
      <charset val="1"/>
    </font>
    <font>
      <sz val="10"/>
      <name val="Iskoola Pota"/>
      <family val="2"/>
      <charset val="1"/>
    </font>
    <font>
      <sz val="12"/>
      <color theme="1"/>
      <name val="Iskoola Pota"/>
      <family val="2"/>
    </font>
    <font>
      <sz val="12"/>
      <name val="Iskoola Pota"/>
      <family val="2"/>
    </font>
    <font>
      <u/>
      <sz val="12"/>
      <color theme="1"/>
      <name val="Calibri"/>
      <family val="2"/>
      <scheme val="minor"/>
    </font>
    <font>
      <b/>
      <sz val="12"/>
      <color theme="1"/>
      <name val="Calibri"/>
      <family val="2"/>
      <scheme val="minor"/>
    </font>
    <font>
      <sz val="12"/>
      <name val="Calibri"/>
      <family val="2"/>
      <scheme val="minor"/>
    </font>
    <font>
      <sz val="12"/>
      <color rgb="FF000000"/>
      <name val="Iskoola Pota"/>
      <family val="2"/>
    </font>
    <font>
      <sz val="12"/>
      <color rgb="FF000000"/>
      <name val="Calibri"/>
      <family val="2"/>
      <scheme val="minor"/>
    </font>
    <font>
      <sz val="12"/>
      <color rgb="FF1F1F1F"/>
      <name val="SKOLAPOTHA"/>
    </font>
    <font>
      <sz val="12"/>
      <color rgb="FF1F1F1F"/>
      <name val="Inherit"/>
    </font>
    <font>
      <sz val="12"/>
      <color rgb="FF1F1F1F"/>
      <name val="Iskoola Pota"/>
      <family val="2"/>
    </font>
    <font>
      <sz val="12"/>
      <name val="Inherit"/>
    </font>
    <font>
      <sz val="12"/>
      <color theme="1"/>
      <name val="Times New Roman"/>
      <family val="1"/>
    </font>
    <font>
      <sz val="11"/>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s>
  <cellStyleXfs count="2">
    <xf numFmtId="0" fontId="0" fillId="0" borderId="0"/>
    <xf numFmtId="43" fontId="7" fillId="0" borderId="0" applyFont="0" applyFill="0" applyBorder="0" applyAlignment="0" applyProtection="0"/>
  </cellStyleXfs>
  <cellXfs count="277">
    <xf numFmtId="0" fontId="0" fillId="0" borderId="0" xfId="0"/>
    <xf numFmtId="0" fontId="0" fillId="0" borderId="1" xfId="0" applyBorder="1"/>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vertical="center" wrapText="1"/>
    </xf>
    <xf numFmtId="0" fontId="0" fillId="0" borderId="1" xfId="0" applyBorder="1" applyAlignment="1">
      <alignment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2" borderId="1" xfId="0" applyFont="1" applyFill="1" applyBorder="1" applyAlignment="1">
      <alignment vertical="center" wrapText="1"/>
    </xf>
    <xf numFmtId="0" fontId="4" fillId="0" borderId="1" xfId="0" applyFont="1" applyBorder="1" applyAlignment="1">
      <alignment vertical="center" wrapText="1"/>
    </xf>
    <xf numFmtId="0" fontId="4" fillId="2" borderId="1" xfId="0" applyFont="1" applyFill="1" applyBorder="1" applyAlignment="1">
      <alignment horizontal="left" vertical="center" wrapText="1"/>
    </xf>
    <xf numFmtId="0" fontId="0" fillId="0" borderId="1" xfId="0" applyFont="1" applyBorder="1" applyAlignment="1">
      <alignment vertical="center" wrapText="1"/>
    </xf>
    <xf numFmtId="0" fontId="0" fillId="0" borderId="1" xfId="0" applyFont="1" applyBorder="1" applyAlignment="1">
      <alignment horizontal="left" vertical="center" wrapText="1"/>
    </xf>
    <xf numFmtId="0" fontId="4" fillId="0" borderId="3" xfId="0" applyFont="1" applyFill="1" applyBorder="1" applyAlignment="1">
      <alignment vertical="center" wrapText="1"/>
    </xf>
    <xf numFmtId="0" fontId="0" fillId="2" borderId="2" xfId="0" applyFill="1" applyBorder="1" applyAlignment="1">
      <alignment vertical="center" wrapText="1"/>
    </xf>
    <xf numFmtId="0" fontId="0" fillId="2" borderId="4" xfId="0" applyFill="1" applyBorder="1" applyAlignment="1">
      <alignment horizontal="left" vertical="center" wrapText="1"/>
    </xf>
    <xf numFmtId="0" fontId="1" fillId="0" borderId="1" xfId="0" applyFont="1" applyBorder="1" applyAlignment="1">
      <alignment vertical="center" wrapText="1"/>
    </xf>
    <xf numFmtId="0" fontId="4" fillId="3" borderId="1" xfId="0" applyFont="1" applyFill="1" applyBorder="1" applyAlignment="1">
      <alignment vertical="center" wrapText="1"/>
    </xf>
    <xf numFmtId="0" fontId="0" fillId="2" borderId="3" xfId="0" applyFill="1" applyBorder="1" applyAlignment="1">
      <alignment horizontal="left" vertical="center" wrapText="1"/>
    </xf>
    <xf numFmtId="0" fontId="0" fillId="2" borderId="1" xfId="0" applyFont="1" applyFill="1" applyBorder="1" applyAlignment="1">
      <alignment horizontal="left" vertical="center" wrapText="1"/>
    </xf>
    <xf numFmtId="0" fontId="5" fillId="0" borderId="0" xfId="0" applyFont="1" applyAlignment="1">
      <alignment vertical="center"/>
    </xf>
    <xf numFmtId="0" fontId="3" fillId="0" borderId="1" xfId="0" applyFont="1"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wrapText="1"/>
    </xf>
    <xf numFmtId="49" fontId="0" fillId="2" borderId="1" xfId="0" applyNumberFormat="1" applyFill="1" applyBorder="1" applyAlignment="1">
      <alignment vertical="center" wrapText="1"/>
    </xf>
    <xf numFmtId="0" fontId="0" fillId="0" borderId="1" xfId="0" applyFill="1" applyBorder="1" applyAlignment="1">
      <alignment vertical="center" wrapText="1"/>
    </xf>
    <xf numFmtId="0" fontId="0" fillId="0" borderId="7" xfId="0" applyBorder="1" applyAlignment="1">
      <alignment vertical="center" wrapText="1"/>
    </xf>
    <xf numFmtId="0" fontId="0" fillId="2" borderId="1" xfId="0" applyFont="1" applyFill="1" applyBorder="1" applyAlignment="1">
      <alignment vertical="center" wrapText="1"/>
    </xf>
    <xf numFmtId="0" fontId="0" fillId="0" borderId="1" xfId="0" applyBorder="1" applyAlignment="1">
      <alignment horizontal="right" vertical="center"/>
    </xf>
    <xf numFmtId="0" fontId="0" fillId="0" borderId="1" xfId="0" applyFont="1" applyFill="1" applyBorder="1" applyAlignment="1">
      <alignment vertical="center" wrapText="1"/>
    </xf>
    <xf numFmtId="0" fontId="0"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0" fillId="0" borderId="1" xfId="0" applyFill="1" applyBorder="1" applyAlignment="1">
      <alignment vertical="center"/>
    </xf>
    <xf numFmtId="0" fontId="8" fillId="2" borderId="1" xfId="0" applyFont="1" applyFill="1" applyBorder="1" applyAlignment="1">
      <alignment vertical="center" wrapText="1"/>
    </xf>
    <xf numFmtId="0" fontId="10"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43" fontId="0" fillId="0" borderId="1" xfId="1" applyFont="1" applyFill="1" applyBorder="1" applyAlignment="1">
      <alignment horizontal="left" vertical="center" wrapText="1"/>
    </xf>
    <xf numFmtId="2" fontId="7" fillId="0" borderId="1" xfId="1" applyNumberFormat="1" applyFont="1" applyFill="1" applyBorder="1" applyAlignment="1">
      <alignment vertical="center"/>
    </xf>
    <xf numFmtId="2" fontId="7" fillId="0" borderId="1" xfId="1" applyNumberFormat="1" applyFont="1" applyFill="1" applyBorder="1" applyAlignment="1">
      <alignment horizontal="right" vertical="center" wrapText="1"/>
    </xf>
    <xf numFmtId="2" fontId="7" fillId="0" borderId="1" xfId="1" applyNumberFormat="1" applyFont="1" applyFill="1" applyBorder="1" applyAlignment="1">
      <alignment horizontal="right" vertical="center"/>
    </xf>
    <xf numFmtId="2" fontId="8" fillId="0" borderId="1" xfId="1" applyNumberFormat="1" applyFont="1" applyFill="1" applyBorder="1" applyAlignment="1">
      <alignment horizontal="right" vertical="center"/>
    </xf>
    <xf numFmtId="2" fontId="8" fillId="0" borderId="1" xfId="1" applyNumberFormat="1" applyFont="1" applyFill="1" applyBorder="1" applyAlignment="1">
      <alignment horizontal="right" vertical="center" wrapText="1"/>
    </xf>
    <xf numFmtId="2" fontId="7" fillId="0" borderId="1" xfId="0" applyNumberFormat="1" applyFont="1" applyFill="1" applyBorder="1" applyAlignment="1">
      <alignment horizontal="right" vertical="center" wrapText="1"/>
    </xf>
    <xf numFmtId="0" fontId="0" fillId="0" borderId="0" xfId="0" applyFont="1" applyFill="1" applyBorder="1" applyAlignment="1">
      <alignment horizontal="left" wrapText="1"/>
    </xf>
    <xf numFmtId="2" fontId="7" fillId="0" borderId="0" xfId="1" applyNumberFormat="1" applyFont="1" applyFill="1" applyBorder="1" applyAlignment="1">
      <alignment horizontal="right" wrapText="1"/>
    </xf>
    <xf numFmtId="43" fontId="0" fillId="0" borderId="0" xfId="1" applyFont="1" applyFill="1" applyBorder="1" applyAlignment="1">
      <alignment horizontal="left" wrapText="1"/>
    </xf>
    <xf numFmtId="2" fontId="7" fillId="0" borderId="0" xfId="1" applyNumberFormat="1" applyFont="1" applyFill="1" applyBorder="1" applyAlignment="1">
      <alignment horizontal="right" vertical="center"/>
    </xf>
    <xf numFmtId="43" fontId="0" fillId="0" borderId="0" xfId="1" applyFont="1" applyFill="1" applyBorder="1" applyAlignment="1">
      <alignment horizontal="left" vertical="center" wrapText="1"/>
    </xf>
    <xf numFmtId="2" fontId="7" fillId="0" borderId="0" xfId="1" applyNumberFormat="1" applyFont="1" applyFill="1" applyBorder="1" applyAlignment="1">
      <alignment horizontal="right" vertical="center" wrapText="1"/>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4" fillId="0" borderId="1" xfId="0" applyFont="1" applyBorder="1" applyAlignment="1">
      <alignment horizontal="left" vertical="center" wrapText="1"/>
    </xf>
    <xf numFmtId="2" fontId="8" fillId="0" borderId="1" xfId="0" applyNumberFormat="1" applyFont="1" applyBorder="1" applyAlignment="1">
      <alignment horizontal="right" vertical="center" wrapText="1"/>
    </xf>
    <xf numFmtId="0" fontId="13" fillId="0" borderId="1" xfId="0" applyFont="1" applyBorder="1" applyAlignment="1">
      <alignment horizontal="left" vertical="center" wrapText="1"/>
    </xf>
    <xf numFmtId="2" fontId="8" fillId="0" borderId="1" xfId="0" applyNumberFormat="1" applyFont="1" applyFill="1" applyBorder="1" applyAlignment="1">
      <alignment horizontal="right" vertical="center" wrapText="1"/>
    </xf>
    <xf numFmtId="2" fontId="8" fillId="0" borderId="1" xfId="1" applyNumberFormat="1" applyFont="1" applyBorder="1" applyAlignment="1">
      <alignment horizontal="right" vertical="center" wrapText="1"/>
    </xf>
    <xf numFmtId="43" fontId="0" fillId="0" borderId="1" xfId="1" applyFont="1" applyFill="1" applyBorder="1" applyAlignment="1">
      <alignment horizontal="right" vertical="center" wrapText="1"/>
    </xf>
    <xf numFmtId="165" fontId="0" fillId="0" borderId="1" xfId="0" applyNumberFormat="1" applyFont="1" applyFill="1" applyBorder="1" applyAlignment="1">
      <alignment vertical="center" wrapText="1"/>
    </xf>
    <xf numFmtId="2" fontId="0" fillId="0" borderId="1" xfId="0" applyNumberFormat="1" applyFont="1" applyFill="1" applyBorder="1" applyAlignment="1">
      <alignmen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43" fontId="0" fillId="0" borderId="1" xfId="1" applyFont="1" applyBorder="1" applyAlignment="1">
      <alignment horizontal="right" vertical="center" wrapText="1"/>
    </xf>
    <xf numFmtId="0" fontId="1" fillId="0" borderId="1" xfId="0" applyFont="1" applyBorder="1" applyAlignment="1">
      <alignment horizontal="left" vertical="center" wrapText="1"/>
    </xf>
    <xf numFmtId="4" fontId="1" fillId="0" borderId="0" xfId="0" applyNumberFormat="1" applyFont="1" applyFill="1" applyAlignment="1">
      <alignment horizontal="left" vertical="center" wrapText="1"/>
    </xf>
    <xf numFmtId="4" fontId="1" fillId="0" borderId="6" xfId="0" applyNumberFormat="1" applyFont="1" applyBorder="1" applyAlignment="1">
      <alignment horizontal="left" vertical="center" wrapText="1"/>
    </xf>
    <xf numFmtId="4" fontId="1" fillId="0" borderId="6" xfId="0" applyNumberFormat="1" applyFont="1" applyFill="1" applyBorder="1" applyAlignment="1">
      <alignment horizontal="left" vertical="center" wrapText="1"/>
    </xf>
    <xf numFmtId="0" fontId="17"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17" fillId="0" borderId="9" xfId="0" applyFont="1" applyBorder="1" applyAlignment="1">
      <alignment vertical="center" wrapText="1"/>
    </xf>
    <xf numFmtId="0" fontId="17" fillId="0" borderId="1" xfId="0" applyFont="1" applyBorder="1" applyAlignment="1">
      <alignment vertical="center" wrapText="1"/>
    </xf>
    <xf numFmtId="0" fontId="0" fillId="0" borderId="1" xfId="0" applyBorder="1" applyAlignment="1"/>
    <xf numFmtId="0" fontId="0" fillId="2" borderId="1" xfId="0" applyFill="1" applyBorder="1" applyAlignment="1">
      <alignment horizontal="left" vertical="center" wrapText="1"/>
    </xf>
    <xf numFmtId="49" fontId="0" fillId="2" borderId="1" xfId="0" applyNumberFormat="1"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2" fontId="7" fillId="0" borderId="1" xfId="1" applyNumberFormat="1" applyFont="1" applyFill="1" applyBorder="1" applyAlignment="1">
      <alignment vertical="center" wrapText="1"/>
    </xf>
    <xf numFmtId="2" fontId="8" fillId="0" borderId="1" xfId="0" applyNumberFormat="1" applyFont="1" applyBorder="1" applyAlignment="1">
      <alignment vertical="center" wrapText="1"/>
    </xf>
    <xf numFmtId="2" fontId="0" fillId="0" borderId="1" xfId="0" applyNumberFormat="1" applyBorder="1" applyAlignment="1">
      <alignment vertical="center" wrapText="1"/>
    </xf>
    <xf numFmtId="2" fontId="6" fillId="0" borderId="1" xfId="0" applyNumberFormat="1" applyFont="1" applyBorder="1" applyAlignment="1">
      <alignment vertical="center" wrapText="1"/>
    </xf>
    <xf numFmtId="2" fontId="4" fillId="0" borderId="1" xfId="0" applyNumberFormat="1" applyFont="1" applyBorder="1" applyAlignment="1">
      <alignment vertical="center" wrapText="1"/>
    </xf>
    <xf numFmtId="0" fontId="6" fillId="0" borderId="1" xfId="0" applyFont="1" applyBorder="1" applyAlignment="1"/>
    <xf numFmtId="0" fontId="6" fillId="0" borderId="1" xfId="0" applyFont="1" applyBorder="1" applyAlignment="1">
      <alignment vertical="center" wrapText="1"/>
    </xf>
    <xf numFmtId="2" fontId="0" fillId="0" borderId="1" xfId="0" applyNumberFormat="1" applyBorder="1"/>
    <xf numFmtId="2" fontId="6" fillId="0" borderId="1" xfId="0" applyNumberFormat="1" applyFont="1" applyBorder="1"/>
    <xf numFmtId="0" fontId="18" fillId="0" borderId="1" xfId="0" applyFont="1" applyBorder="1" applyAlignment="1">
      <alignment horizontal="left" vertical="center" wrapText="1"/>
    </xf>
    <xf numFmtId="0" fontId="18" fillId="0" borderId="1" xfId="0" applyFont="1" applyBorder="1" applyAlignment="1">
      <alignment vertical="center"/>
    </xf>
    <xf numFmtId="0" fontId="0" fillId="0" borderId="1" xfId="0" applyFont="1" applyBorder="1" applyAlignment="1">
      <alignment vertical="center"/>
    </xf>
    <xf numFmtId="0" fontId="13" fillId="0" borderId="1" xfId="0" applyFont="1" applyBorder="1" applyAlignment="1">
      <alignment vertical="center" wrapText="1"/>
    </xf>
    <xf numFmtId="49" fontId="0" fillId="2" borderId="6" xfId="0" applyNumberFormat="1" applyFill="1" applyBorder="1" applyAlignment="1">
      <alignment vertical="center" wrapText="1"/>
    </xf>
    <xf numFmtId="49" fontId="0" fillId="2" borderId="7" xfId="0" applyNumberFormat="1" applyFill="1" applyBorder="1" applyAlignment="1">
      <alignment vertical="center" wrapText="1"/>
    </xf>
    <xf numFmtId="49" fontId="0" fillId="2" borderId="1" xfId="0" applyNumberFormat="1" applyFill="1" applyBorder="1" applyAlignment="1">
      <alignment horizontal="left" vertical="center" wrapText="1"/>
    </xf>
    <xf numFmtId="0" fontId="0" fillId="0" borderId="0" xfId="0" applyBorder="1"/>
    <xf numFmtId="0" fontId="6" fillId="0" borderId="1" xfId="0" applyFont="1" applyBorder="1"/>
    <xf numFmtId="0" fontId="5" fillId="0" borderId="1" xfId="0" applyFont="1" applyBorder="1" applyAlignment="1">
      <alignment horizontal="justify" vertical="center" wrapText="1"/>
    </xf>
    <xf numFmtId="0" fontId="18" fillId="0" borderId="1" xfId="0" applyFont="1" applyBorder="1" applyAlignment="1">
      <alignment horizontal="right" vertical="center"/>
    </xf>
    <xf numFmtId="43" fontId="4" fillId="0" borderId="1" xfId="0" applyNumberFormat="1" applyFont="1" applyBorder="1" applyAlignment="1">
      <alignment vertical="center" wrapText="1"/>
    </xf>
    <xf numFmtId="43" fontId="0" fillId="0" borderId="1" xfId="0" applyNumberFormat="1" applyBorder="1" applyAlignment="1">
      <alignment vertical="center" wrapText="1"/>
    </xf>
    <xf numFmtId="43" fontId="0" fillId="0" borderId="1" xfId="0" applyNumberFormat="1" applyBorder="1"/>
    <xf numFmtId="2" fontId="0" fillId="0" borderId="1" xfId="0" applyNumberFormat="1" applyFont="1" applyBorder="1" applyAlignment="1">
      <alignment vertical="center" wrapText="1"/>
    </xf>
    <xf numFmtId="43" fontId="0" fillId="0" borderId="1" xfId="0" applyNumberFormat="1" applyBorder="1" applyAlignment="1">
      <alignment vertical="center"/>
    </xf>
    <xf numFmtId="0" fontId="0" fillId="0" borderId="0" xfId="0" applyBorder="1" applyAlignment="1">
      <alignment vertical="center"/>
    </xf>
    <xf numFmtId="0" fontId="5" fillId="0" borderId="1" xfId="0" applyFont="1" applyFill="1" applyBorder="1" applyAlignment="1">
      <alignment vertical="center" wrapText="1"/>
    </xf>
    <xf numFmtId="43" fontId="6" fillId="0" borderId="1" xfId="0" applyNumberFormat="1" applyFont="1" applyBorder="1" applyAlignment="1">
      <alignment vertical="center" wrapText="1"/>
    </xf>
    <xf numFmtId="4" fontId="1" fillId="0" borderId="0" xfId="0" applyNumberFormat="1" applyFont="1" applyFill="1" applyBorder="1" applyAlignment="1">
      <alignment horizontal="left" vertical="center" wrapText="1"/>
    </xf>
    <xf numFmtId="0" fontId="1" fillId="0" borderId="1" xfId="0" applyFont="1" applyBorder="1" applyAlignment="1">
      <alignment horizontal="center" vertical="center" wrapText="1"/>
    </xf>
    <xf numFmtId="0" fontId="0" fillId="0" borderId="0" xfId="0" applyFill="1" applyBorder="1" applyAlignment="1">
      <alignment vertical="center" wrapText="1"/>
    </xf>
    <xf numFmtId="0" fontId="0" fillId="0" borderId="3" xfId="0" applyFill="1" applyBorder="1" applyAlignment="1">
      <alignment vertical="center" wrapText="1"/>
    </xf>
    <xf numFmtId="0" fontId="0" fillId="2" borderId="1" xfId="0" applyFill="1" applyBorder="1" applyAlignment="1">
      <alignment horizontal="left" vertical="center" wrapText="1"/>
    </xf>
    <xf numFmtId="0" fontId="0" fillId="2" borderId="1" xfId="0"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4" borderId="1" xfId="0" applyFill="1" applyBorder="1" applyAlignment="1">
      <alignment vertical="center" wrapText="1"/>
    </xf>
    <xf numFmtId="0" fontId="5" fillId="4" borderId="1" xfId="0" applyFont="1" applyFill="1" applyBorder="1" applyAlignment="1">
      <alignment horizontal="justify" vertical="center" wrapText="1"/>
    </xf>
    <xf numFmtId="0" fontId="0" fillId="0" borderId="0" xfId="0" applyBorder="1" applyAlignment="1">
      <alignment vertical="center" wrapText="1"/>
    </xf>
    <xf numFmtId="0" fontId="1" fillId="0" borderId="0" xfId="0" applyFont="1"/>
    <xf numFmtId="0" fontId="1" fillId="0" borderId="0" xfId="0" applyFont="1" applyAlignment="1">
      <alignment vertical="center" wrapText="1"/>
    </xf>
    <xf numFmtId="49" fontId="1" fillId="2" borderId="1" xfId="0" applyNumberFormat="1" applyFont="1" applyFill="1" applyBorder="1" applyAlignment="1">
      <alignment vertical="center" wrapText="1"/>
    </xf>
    <xf numFmtId="0" fontId="1" fillId="2" borderId="1" xfId="0" applyFont="1" applyFill="1" applyBorder="1" applyAlignment="1">
      <alignment vertical="center" wrapText="1"/>
    </xf>
    <xf numFmtId="0" fontId="1" fillId="0" borderId="1" xfId="0" applyFont="1" applyBorder="1" applyAlignment="1">
      <alignment vertical="center"/>
    </xf>
    <xf numFmtId="0" fontId="1" fillId="0" borderId="3" xfId="0" applyFont="1" applyFill="1" applyBorder="1" applyAlignment="1">
      <alignment vertical="center" wrapText="1"/>
    </xf>
    <xf numFmtId="0" fontId="1" fillId="0" borderId="1" xfId="0" applyFont="1" applyBorder="1"/>
    <xf numFmtId="0" fontId="1" fillId="0" borderId="0" xfId="0" applyFont="1" applyFill="1" applyBorder="1" applyAlignment="1">
      <alignment vertical="center" wrapText="1"/>
    </xf>
    <xf numFmtId="0" fontId="1" fillId="0" borderId="0" xfId="0" applyFont="1" applyAlignment="1">
      <alignment vertical="center"/>
    </xf>
    <xf numFmtId="0" fontId="1" fillId="0" borderId="1" xfId="0" applyFont="1" applyBorder="1" applyAlignment="1">
      <alignment horizontal="right" vertical="center"/>
    </xf>
    <xf numFmtId="0" fontId="1" fillId="0" borderId="1" xfId="0" applyFont="1" applyFill="1" applyBorder="1" applyAlignment="1">
      <alignment vertical="center" wrapText="1"/>
    </xf>
    <xf numFmtId="164" fontId="1" fillId="0" borderId="1" xfId="0" applyNumberFormat="1" applyFont="1" applyFill="1" applyBorder="1" applyAlignment="1">
      <alignment vertical="center" wrapText="1"/>
    </xf>
    <xf numFmtId="0" fontId="1" fillId="0" borderId="1" xfId="0" applyFont="1" applyFill="1" applyBorder="1" applyAlignment="1">
      <alignment horizontal="left" vertical="center" wrapText="1"/>
    </xf>
    <xf numFmtId="43" fontId="21" fillId="0" borderId="1" xfId="1" applyFont="1" applyFill="1" applyBorder="1" applyAlignment="1">
      <alignment horizontal="right" vertical="center"/>
    </xf>
    <xf numFmtId="0" fontId="22" fillId="0" borderId="1" xfId="0" applyFont="1" applyFill="1" applyBorder="1" applyAlignment="1">
      <alignment vertical="center" wrapText="1"/>
    </xf>
    <xf numFmtId="0" fontId="24" fillId="0" borderId="1" xfId="0" applyFont="1" applyFill="1" applyBorder="1" applyAlignment="1">
      <alignment horizontal="left" vertical="center" wrapText="1"/>
    </xf>
    <xf numFmtId="0" fontId="25" fillId="0" borderId="1" xfId="0" applyFont="1" applyFill="1" applyBorder="1" applyAlignment="1">
      <alignment horizontal="left" vertical="center" wrapText="1"/>
    </xf>
    <xf numFmtId="0" fontId="1" fillId="0" borderId="1" xfId="0" applyFont="1" applyFill="1" applyBorder="1" applyAlignment="1">
      <alignment vertical="center"/>
    </xf>
    <xf numFmtId="0" fontId="25" fillId="2" borderId="1" xfId="0" applyFont="1" applyFill="1" applyBorder="1" applyAlignment="1">
      <alignment horizontal="left" vertical="center" wrapText="1"/>
    </xf>
    <xf numFmtId="0" fontId="21" fillId="2" borderId="1" xfId="0" applyFont="1" applyFill="1" applyBorder="1" applyAlignment="1">
      <alignment vertical="center" wrapText="1"/>
    </xf>
    <xf numFmtId="0" fontId="26" fillId="0"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2" fontId="1" fillId="2" borderId="1" xfId="0" applyNumberFormat="1" applyFont="1" applyFill="1" applyBorder="1" applyAlignment="1">
      <alignment horizontal="right" vertical="center"/>
    </xf>
    <xf numFmtId="0" fontId="1" fillId="2" borderId="1" xfId="0" applyFont="1" applyFill="1" applyBorder="1" applyAlignment="1">
      <alignment horizontal="right" vertical="center"/>
    </xf>
    <xf numFmtId="2" fontId="1" fillId="0" borderId="1" xfId="1" applyNumberFormat="1" applyFont="1" applyFill="1" applyBorder="1" applyAlignment="1">
      <alignment horizontal="left" vertical="center"/>
    </xf>
    <xf numFmtId="43" fontId="1" fillId="0" borderId="1" xfId="0" applyNumberFormat="1" applyFont="1" applyFill="1" applyBorder="1" applyAlignment="1">
      <alignment horizontal="left" vertical="center" wrapText="1"/>
    </xf>
    <xf numFmtId="2" fontId="1" fillId="0" borderId="1" xfId="0" applyNumberFormat="1" applyFont="1" applyBorder="1" applyAlignment="1">
      <alignment vertical="center"/>
    </xf>
    <xf numFmtId="43" fontId="1" fillId="0" borderId="1" xfId="1" applyFont="1" applyFill="1" applyBorder="1" applyAlignment="1">
      <alignment horizontal="left" vertical="center" wrapText="1"/>
    </xf>
    <xf numFmtId="2" fontId="1" fillId="0" borderId="1" xfId="1" applyNumberFormat="1" applyFont="1" applyFill="1" applyBorder="1" applyAlignment="1">
      <alignment horizontal="left" vertical="center" wrapText="1"/>
    </xf>
    <xf numFmtId="0" fontId="27" fillId="0" borderId="1" xfId="0" applyFont="1" applyBorder="1" applyAlignment="1">
      <alignment horizontal="left" vertical="center" wrapText="1"/>
    </xf>
    <xf numFmtId="2" fontId="21" fillId="0" borderId="1" xfId="1" applyNumberFormat="1" applyFont="1" applyBorder="1" applyAlignment="1" applyProtection="1">
      <alignment horizontal="right" vertical="center" wrapText="1"/>
    </xf>
    <xf numFmtId="2" fontId="21" fillId="0" borderId="1" xfId="0" applyNumberFormat="1" applyFont="1" applyBorder="1" applyAlignment="1">
      <alignment horizontal="right" vertical="center" wrapText="1"/>
    </xf>
    <xf numFmtId="0" fontId="27" fillId="0" borderId="1" xfId="0" applyFont="1" applyFill="1" applyBorder="1" applyAlignment="1">
      <alignment horizontal="left" vertical="center" wrapText="1"/>
    </xf>
    <xf numFmtId="2" fontId="1" fillId="0" borderId="1" xfId="0" applyNumberFormat="1" applyFont="1" applyFill="1" applyBorder="1" applyAlignment="1">
      <alignment horizontal="right" vertical="center" wrapText="1"/>
    </xf>
    <xf numFmtId="0" fontId="1" fillId="0" borderId="1" xfId="0" applyFont="1" applyFill="1" applyBorder="1" applyAlignment="1">
      <alignment horizontal="right" vertical="center" wrapText="1"/>
    </xf>
    <xf numFmtId="0" fontId="25" fillId="0" borderId="1" xfId="0" applyFont="1" applyBorder="1" applyAlignment="1">
      <alignment horizontal="left" vertical="center" wrapText="1"/>
    </xf>
    <xf numFmtId="43" fontId="0" fillId="0" borderId="0" xfId="0" applyNumberFormat="1"/>
    <xf numFmtId="2" fontId="0" fillId="0" borderId="1" xfId="0" applyNumberFormat="1" applyBorder="1" applyAlignment="1">
      <alignment vertical="center"/>
    </xf>
    <xf numFmtId="2" fontId="18" fillId="0" borderId="1" xfId="0" applyNumberFormat="1" applyFont="1" applyBorder="1" applyAlignment="1">
      <alignment horizontal="right" vertical="center"/>
    </xf>
    <xf numFmtId="0" fontId="0" fillId="2" borderId="4" xfId="0" applyFill="1" applyBorder="1" applyAlignment="1">
      <alignment horizontal="left" vertical="center" wrapText="1"/>
    </xf>
    <xf numFmtId="0" fontId="0" fillId="0" borderId="0" xfId="0" applyFill="1" applyAlignment="1">
      <alignment wrapText="1"/>
    </xf>
    <xf numFmtId="0" fontId="0" fillId="0" borderId="2" xfId="0" applyFont="1" applyFill="1" applyBorder="1" applyAlignment="1">
      <alignment horizontal="left" vertical="center" wrapText="1"/>
    </xf>
    <xf numFmtId="43" fontId="0" fillId="0" borderId="2" xfId="1" applyFont="1" applyFill="1" applyBorder="1" applyAlignment="1">
      <alignment horizontal="right" vertical="center" wrapText="1"/>
    </xf>
    <xf numFmtId="0" fontId="0" fillId="0" borderId="2" xfId="0" applyFont="1" applyFill="1" applyBorder="1" applyAlignment="1">
      <alignment vertical="center" wrapText="1"/>
    </xf>
    <xf numFmtId="0" fontId="13" fillId="0" borderId="0" xfId="0" applyFont="1" applyBorder="1" applyAlignment="1">
      <alignment horizontal="left" vertical="center" wrapText="1"/>
    </xf>
    <xf numFmtId="0" fontId="0" fillId="0" borderId="1" xfId="0" applyBorder="1" applyAlignment="1">
      <alignment horizontal="left" vertical="center"/>
    </xf>
    <xf numFmtId="0" fontId="0" fillId="0" borderId="4" xfId="0" applyBorder="1" applyAlignment="1">
      <alignment vertical="center" wrapText="1"/>
    </xf>
    <xf numFmtId="0" fontId="0" fillId="0" borderId="1" xfId="0" applyBorder="1" applyAlignment="1">
      <alignment horizontal="left" vertical="center"/>
    </xf>
    <xf numFmtId="0" fontId="8" fillId="2" borderId="3" xfId="0" applyFont="1" applyFill="1" applyBorder="1" applyAlignment="1">
      <alignment vertical="center" wrapText="1"/>
    </xf>
    <xf numFmtId="0" fontId="13" fillId="0" borderId="3" xfId="0" applyFont="1" applyFill="1" applyBorder="1" applyAlignment="1">
      <alignment horizontal="left" vertical="center" wrapText="1"/>
    </xf>
    <xf numFmtId="0" fontId="0" fillId="0" borderId="3" xfId="0" applyFill="1" applyBorder="1" applyAlignment="1">
      <alignment vertical="center"/>
    </xf>
    <xf numFmtId="0" fontId="1" fillId="0" borderId="4" xfId="0" applyFont="1" applyBorder="1" applyAlignment="1">
      <alignment vertical="center" wrapText="1"/>
    </xf>
    <xf numFmtId="0" fontId="18" fillId="0" borderId="3" xfId="0" applyFont="1" applyFill="1" applyBorder="1" applyAlignment="1">
      <alignment horizontal="left" vertical="center" wrapText="1"/>
    </xf>
    <xf numFmtId="0" fontId="17" fillId="0" borderId="8" xfId="0" applyFont="1" applyFill="1" applyBorder="1" applyAlignment="1">
      <alignment vertical="center" wrapText="1"/>
    </xf>
    <xf numFmtId="0" fontId="17" fillId="0" borderId="12" xfId="0" applyFont="1" applyFill="1" applyBorder="1" applyAlignment="1">
      <alignment horizontal="right" vertical="center"/>
    </xf>
    <xf numFmtId="0" fontId="17" fillId="0" borderId="4" xfId="0" applyFont="1" applyBorder="1" applyAlignment="1">
      <alignment vertical="center" wrapText="1"/>
    </xf>
    <xf numFmtId="0" fontId="26" fillId="0" borderId="1" xfId="0" applyFont="1" applyBorder="1" applyAlignment="1">
      <alignment horizontal="left" vertical="center" wrapText="1"/>
    </xf>
    <xf numFmtId="2" fontId="17" fillId="0" borderId="1" xfId="0" applyNumberFormat="1" applyFont="1" applyFill="1" applyBorder="1" applyAlignment="1">
      <alignment horizontal="right" vertical="center" wrapText="1"/>
    </xf>
    <xf numFmtId="0" fontId="17" fillId="0" borderId="1" xfId="0" applyFont="1" applyBorder="1" applyAlignment="1">
      <alignment vertical="center"/>
    </xf>
    <xf numFmtId="0" fontId="1" fillId="0" borderId="3" xfId="0" applyFont="1" applyBorder="1" applyAlignment="1">
      <alignment vertical="center" wrapText="1"/>
    </xf>
    <xf numFmtId="0" fontId="17" fillId="0" borderId="1" xfId="0" applyFont="1" applyBorder="1" applyAlignment="1">
      <alignment horizontal="right" vertical="center" wrapText="1"/>
    </xf>
    <xf numFmtId="0" fontId="17" fillId="0" borderId="1" xfId="0" applyFont="1" applyBorder="1" applyAlignment="1">
      <alignment horizontal="justify" vertical="center" wrapText="1"/>
    </xf>
    <xf numFmtId="0" fontId="0" fillId="0" borderId="1" xfId="0" applyBorder="1" applyAlignment="1">
      <alignment horizontal="left" vertical="center"/>
    </xf>
    <xf numFmtId="0" fontId="0" fillId="0" borderId="1" xfId="0" applyBorder="1" applyAlignment="1">
      <alignment horizontal="left" vertical="center"/>
    </xf>
    <xf numFmtId="0" fontId="25" fillId="0" borderId="0" xfId="0" applyFont="1" applyAlignment="1">
      <alignment horizontal="left" vertical="center" wrapText="1"/>
    </xf>
    <xf numFmtId="0" fontId="25" fillId="0" borderId="0" xfId="0" applyFont="1" applyAlignment="1">
      <alignment vertical="center" wrapText="1"/>
    </xf>
    <xf numFmtId="0" fontId="25" fillId="0" borderId="1" xfId="0" applyFont="1" applyBorder="1" applyAlignment="1">
      <alignment vertical="center" wrapText="1"/>
    </xf>
    <xf numFmtId="0" fontId="17" fillId="0" borderId="3" xfId="0" applyFont="1" applyFill="1" applyBorder="1" applyAlignment="1">
      <alignment vertical="center" wrapText="1"/>
    </xf>
    <xf numFmtId="0" fontId="17" fillId="0" borderId="0" xfId="0" applyFont="1" applyFill="1" applyBorder="1" applyAlignment="1">
      <alignment vertical="center" wrapText="1"/>
    </xf>
    <xf numFmtId="0" fontId="17" fillId="0" borderId="2" xfId="0" applyFont="1" applyBorder="1" applyAlignment="1">
      <alignment vertical="center" wrapText="1"/>
    </xf>
    <xf numFmtId="0" fontId="9" fillId="0" borderId="0" xfId="0" applyFont="1" applyAlignment="1">
      <alignment vertical="center" wrapText="1"/>
    </xf>
    <xf numFmtId="0" fontId="0" fillId="0" borderId="1" xfId="0" applyBorder="1" applyAlignment="1">
      <alignment horizontal="left" vertical="center"/>
    </xf>
    <xf numFmtId="0" fontId="28" fillId="0" borderId="0" xfId="0" applyFont="1" applyAlignment="1">
      <alignment vertical="center" wrapText="1"/>
    </xf>
    <xf numFmtId="0" fontId="28" fillId="0" borderId="1" xfId="0" applyFont="1" applyBorder="1" applyAlignment="1">
      <alignment vertical="center" wrapText="1"/>
    </xf>
    <xf numFmtId="0" fontId="9" fillId="0" borderId="1" xfId="0" applyFont="1" applyBorder="1" applyAlignment="1">
      <alignment vertical="center" wrapText="1"/>
    </xf>
    <xf numFmtId="0" fontId="0" fillId="0" borderId="4" xfId="0" applyBorder="1" applyAlignment="1">
      <alignment vertical="center"/>
    </xf>
    <xf numFmtId="0" fontId="0" fillId="0" borderId="2" xfId="0" applyBorder="1" applyAlignment="1">
      <alignment vertical="center"/>
    </xf>
    <xf numFmtId="0" fontId="28" fillId="0" borderId="2" xfId="0" applyFont="1" applyBorder="1" applyAlignment="1">
      <alignment vertical="center" wrapText="1"/>
    </xf>
    <xf numFmtId="0" fontId="13" fillId="0" borderId="2" xfId="0" applyFont="1" applyFill="1" applyBorder="1" applyAlignment="1">
      <alignment horizontal="left" vertical="center" wrapText="1"/>
    </xf>
    <xf numFmtId="0" fontId="29" fillId="0" borderId="1" xfId="0" applyFont="1"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4" xfId="0" applyBorder="1" applyAlignment="1">
      <alignment horizontal="left" vertical="center" wrapText="1"/>
    </xf>
    <xf numFmtId="0" fontId="0" fillId="0" borderId="3" xfId="0" applyBorder="1" applyAlignment="1">
      <alignment vertical="center" wrapText="1"/>
    </xf>
    <xf numFmtId="43" fontId="0" fillId="0" borderId="1" xfId="1" applyFont="1" applyBorder="1" applyAlignment="1">
      <alignment horizontal="center" vertical="center" wrapText="1"/>
    </xf>
    <xf numFmtId="0" fontId="0" fillId="0" borderId="2" xfId="0" applyBorder="1" applyAlignment="1">
      <alignment vertical="center" wrapText="1"/>
    </xf>
    <xf numFmtId="0" fontId="0" fillId="0" borderId="4" xfId="0"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left" vertical="center" wrapText="1"/>
    </xf>
    <xf numFmtId="0" fontId="0" fillId="0" borderId="0" xfId="0" applyAlignment="1">
      <alignment horizontal="right" vertical="center" wrapText="1"/>
    </xf>
    <xf numFmtId="0" fontId="0" fillId="0" borderId="4" xfId="0" applyBorder="1" applyAlignment="1">
      <alignment horizontal="right" vertical="center"/>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0" fillId="0" borderId="0" xfId="0" applyBorder="1" applyAlignment="1">
      <alignment horizontal="left" vertical="center" wrapText="1"/>
    </xf>
    <xf numFmtId="0" fontId="0" fillId="2" borderId="1" xfId="0" applyFill="1"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vertical="center" wrapText="1"/>
    </xf>
    <xf numFmtId="0" fontId="5" fillId="0" borderId="2" xfId="0" applyFon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3" fontId="0" fillId="0" borderId="4" xfId="1" applyFont="1" applyBorder="1" applyAlignment="1">
      <alignment horizontal="center" vertical="center" wrapText="1"/>
    </xf>
    <xf numFmtId="0" fontId="0" fillId="2" borderId="1" xfId="0"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2" fontId="0" fillId="0" borderId="1" xfId="0" applyNumberFormat="1" applyFont="1" applyBorder="1" applyAlignment="1">
      <alignment horizontal="right" vertical="center" wrapText="1"/>
    </xf>
    <xf numFmtId="0" fontId="18" fillId="0" borderId="1" xfId="0" applyFont="1" applyFill="1" applyBorder="1" applyAlignment="1">
      <alignment horizontal="left" vertical="center" wrapText="1"/>
    </xf>
    <xf numFmtId="43" fontId="0" fillId="0" borderId="1" xfId="0" applyNumberFormat="1" applyFont="1" applyBorder="1" applyAlignment="1">
      <alignmen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49" fontId="0" fillId="2" borderId="2" xfId="0" applyNumberFormat="1" applyFill="1" applyBorder="1" applyAlignment="1">
      <alignment horizontal="center" vertical="center" wrapText="1"/>
    </xf>
    <xf numFmtId="49" fontId="0" fillId="2" borderId="3" xfId="0" applyNumberFormat="1" applyFill="1" applyBorder="1" applyAlignment="1">
      <alignment horizontal="center" vertical="center" wrapText="1"/>
    </xf>
    <xf numFmtId="49" fontId="0" fillId="2" borderId="4" xfId="0" applyNumberFormat="1" applyFill="1" applyBorder="1" applyAlignment="1">
      <alignment horizontal="center" vertical="center" wrapText="1"/>
    </xf>
    <xf numFmtId="49" fontId="0" fillId="2" borderId="1"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 fillId="0" borderId="8" xfId="0" applyFont="1" applyBorder="1" applyAlignment="1">
      <alignment horizontal="center"/>
    </xf>
    <xf numFmtId="0" fontId="2" fillId="0" borderId="0" xfId="0" applyFont="1" applyBorder="1" applyAlignment="1">
      <alignment horizontal="center"/>
    </xf>
    <xf numFmtId="0" fontId="1" fillId="0" borderId="5" xfId="0" applyFont="1" applyBorder="1" applyAlignment="1">
      <alignment horizontal="left"/>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0" fillId="0" borderId="2" xfId="0" applyBorder="1" applyAlignment="1">
      <alignment horizontal="right" vertical="center"/>
    </xf>
    <xf numFmtId="0" fontId="0" fillId="0" borderId="3" xfId="0" applyBorder="1" applyAlignment="1">
      <alignment horizontal="right" vertical="center"/>
    </xf>
    <xf numFmtId="0" fontId="0" fillId="0" borderId="4" xfId="0" applyBorder="1" applyAlignment="1">
      <alignment horizontal="right"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vertical="center" wrapText="1"/>
    </xf>
    <xf numFmtId="0" fontId="5" fillId="0" borderId="3" xfId="0" applyFont="1" applyBorder="1" applyAlignment="1">
      <alignment horizontal="center" vertical="center" wrapText="1"/>
    </xf>
    <xf numFmtId="0" fontId="0" fillId="0" borderId="1" xfId="0" applyBorder="1" applyAlignment="1">
      <alignment horizontal="left" vertical="center" wrapText="1"/>
    </xf>
    <xf numFmtId="0" fontId="5" fillId="0" borderId="1" xfId="0" applyFont="1" applyBorder="1" applyAlignment="1">
      <alignment horizontal="left" vertical="center" wrapText="1"/>
    </xf>
    <xf numFmtId="43" fontId="0" fillId="0" borderId="2" xfId="1" applyFont="1" applyBorder="1" applyAlignment="1">
      <alignment horizontal="center" vertical="center" wrapText="1"/>
    </xf>
    <xf numFmtId="43" fontId="0" fillId="0" borderId="4" xfId="1" applyFont="1" applyBorder="1" applyAlignment="1">
      <alignment horizontal="center" vertical="center" wrapText="1"/>
    </xf>
    <xf numFmtId="0" fontId="19" fillId="0" borderId="1" xfId="0" applyFont="1" applyBorder="1" applyAlignment="1">
      <alignment horizontal="center"/>
    </xf>
    <xf numFmtId="0" fontId="1" fillId="0" borderId="1" xfId="0" applyFont="1" applyBorder="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customXml" Target="../ink/ink12.xml"/><Relationship Id="rId18" Type="http://schemas.openxmlformats.org/officeDocument/2006/relationships/customXml" Target="../ink/ink17.xml"/><Relationship Id="rId26" Type="http://schemas.openxmlformats.org/officeDocument/2006/relationships/customXml" Target="../ink/ink25.xml"/><Relationship Id="rId39" Type="http://schemas.openxmlformats.org/officeDocument/2006/relationships/customXml" Target="../ink/ink38.xml"/><Relationship Id="rId3" Type="http://schemas.openxmlformats.org/officeDocument/2006/relationships/customXml" Target="../ink/ink2.xml"/><Relationship Id="rId21" Type="http://schemas.openxmlformats.org/officeDocument/2006/relationships/customXml" Target="../ink/ink20.xml"/><Relationship Id="rId34" Type="http://schemas.openxmlformats.org/officeDocument/2006/relationships/customXml" Target="../ink/ink33.xml"/><Relationship Id="rId7" Type="http://schemas.openxmlformats.org/officeDocument/2006/relationships/customXml" Target="../ink/ink6.xml"/><Relationship Id="rId12" Type="http://schemas.openxmlformats.org/officeDocument/2006/relationships/customXml" Target="../ink/ink11.xml"/><Relationship Id="rId17" Type="http://schemas.openxmlformats.org/officeDocument/2006/relationships/customXml" Target="../ink/ink16.xml"/><Relationship Id="rId25" Type="http://schemas.openxmlformats.org/officeDocument/2006/relationships/customXml" Target="../ink/ink24.xml"/><Relationship Id="rId33" Type="http://schemas.openxmlformats.org/officeDocument/2006/relationships/customXml" Target="../ink/ink32.xml"/><Relationship Id="rId38" Type="http://schemas.openxmlformats.org/officeDocument/2006/relationships/customXml" Target="../ink/ink37.xml"/><Relationship Id="rId2" Type="http://schemas.openxmlformats.org/officeDocument/2006/relationships/image" Target="../media/image1.png"/><Relationship Id="rId16" Type="http://schemas.openxmlformats.org/officeDocument/2006/relationships/customXml" Target="../ink/ink15.xml"/><Relationship Id="rId20" Type="http://schemas.openxmlformats.org/officeDocument/2006/relationships/customXml" Target="../ink/ink19.xml"/><Relationship Id="rId29" Type="http://schemas.openxmlformats.org/officeDocument/2006/relationships/customXml" Target="../ink/ink28.xml"/><Relationship Id="rId41" Type="http://schemas.openxmlformats.org/officeDocument/2006/relationships/customXml" Target="../ink/ink40.xml"/><Relationship Id="rId1" Type="http://schemas.openxmlformats.org/officeDocument/2006/relationships/customXml" Target="../ink/ink1.xml"/><Relationship Id="rId6" Type="http://schemas.openxmlformats.org/officeDocument/2006/relationships/customXml" Target="../ink/ink5.xml"/><Relationship Id="rId11" Type="http://schemas.openxmlformats.org/officeDocument/2006/relationships/customXml" Target="../ink/ink10.xml"/><Relationship Id="rId24" Type="http://schemas.openxmlformats.org/officeDocument/2006/relationships/customXml" Target="../ink/ink23.xml"/><Relationship Id="rId32" Type="http://schemas.openxmlformats.org/officeDocument/2006/relationships/customXml" Target="../ink/ink31.xml"/><Relationship Id="rId37" Type="http://schemas.openxmlformats.org/officeDocument/2006/relationships/customXml" Target="../ink/ink36.xml"/><Relationship Id="rId40" Type="http://schemas.openxmlformats.org/officeDocument/2006/relationships/customXml" Target="../ink/ink39.xml"/><Relationship Id="rId5" Type="http://schemas.openxmlformats.org/officeDocument/2006/relationships/customXml" Target="../ink/ink4.xml"/><Relationship Id="rId15" Type="http://schemas.openxmlformats.org/officeDocument/2006/relationships/customXml" Target="../ink/ink14.xml"/><Relationship Id="rId23" Type="http://schemas.openxmlformats.org/officeDocument/2006/relationships/customXml" Target="../ink/ink22.xml"/><Relationship Id="rId28" Type="http://schemas.openxmlformats.org/officeDocument/2006/relationships/customXml" Target="../ink/ink27.xml"/><Relationship Id="rId36" Type="http://schemas.openxmlformats.org/officeDocument/2006/relationships/customXml" Target="../ink/ink35.xml"/><Relationship Id="rId10" Type="http://schemas.openxmlformats.org/officeDocument/2006/relationships/customXml" Target="../ink/ink9.xml"/><Relationship Id="rId19" Type="http://schemas.openxmlformats.org/officeDocument/2006/relationships/customXml" Target="../ink/ink18.xml"/><Relationship Id="rId31" Type="http://schemas.openxmlformats.org/officeDocument/2006/relationships/customXml" Target="../ink/ink30.xml"/><Relationship Id="rId4" Type="http://schemas.openxmlformats.org/officeDocument/2006/relationships/customXml" Target="../ink/ink3.xml"/><Relationship Id="rId9" Type="http://schemas.openxmlformats.org/officeDocument/2006/relationships/customXml" Target="../ink/ink8.xml"/><Relationship Id="rId14" Type="http://schemas.openxmlformats.org/officeDocument/2006/relationships/customXml" Target="../ink/ink13.xml"/><Relationship Id="rId22" Type="http://schemas.openxmlformats.org/officeDocument/2006/relationships/customXml" Target="../ink/ink21.xml"/><Relationship Id="rId27" Type="http://schemas.openxmlformats.org/officeDocument/2006/relationships/customXml" Target="../ink/ink26.xml"/><Relationship Id="rId30" Type="http://schemas.openxmlformats.org/officeDocument/2006/relationships/customXml" Target="../ink/ink29.xml"/><Relationship Id="rId35" Type="http://schemas.openxmlformats.org/officeDocument/2006/relationships/customXml" Target="../ink/ink34.xml"/></Relationships>
</file>

<file path=xl/drawings/_rels/drawing2.xml.rels><?xml version="1.0" encoding="UTF-8" standalone="yes"?>
<Relationships xmlns="http://schemas.openxmlformats.org/package/2006/relationships"><Relationship Id="rId8" Type="http://schemas.openxmlformats.org/officeDocument/2006/relationships/customXml" Target="../ink/ink47.xml"/><Relationship Id="rId13" Type="http://schemas.openxmlformats.org/officeDocument/2006/relationships/customXml" Target="../ink/ink52.xml"/><Relationship Id="rId3" Type="http://schemas.openxmlformats.org/officeDocument/2006/relationships/customXml" Target="../ink/ink42.xml"/><Relationship Id="rId7" Type="http://schemas.openxmlformats.org/officeDocument/2006/relationships/customXml" Target="../ink/ink46.xml"/><Relationship Id="rId12" Type="http://schemas.openxmlformats.org/officeDocument/2006/relationships/customXml" Target="../ink/ink51.xml"/><Relationship Id="rId17" Type="http://schemas.openxmlformats.org/officeDocument/2006/relationships/customXml" Target="../ink/ink56.xml"/><Relationship Id="rId2" Type="http://schemas.openxmlformats.org/officeDocument/2006/relationships/image" Target="../media/image1.png"/><Relationship Id="rId16" Type="http://schemas.openxmlformats.org/officeDocument/2006/relationships/customXml" Target="../ink/ink55.xml"/><Relationship Id="rId1" Type="http://schemas.openxmlformats.org/officeDocument/2006/relationships/customXml" Target="../ink/ink41.xml"/><Relationship Id="rId6" Type="http://schemas.openxmlformats.org/officeDocument/2006/relationships/customXml" Target="../ink/ink45.xml"/><Relationship Id="rId11" Type="http://schemas.openxmlformats.org/officeDocument/2006/relationships/customXml" Target="../ink/ink50.xml"/><Relationship Id="rId5" Type="http://schemas.openxmlformats.org/officeDocument/2006/relationships/customXml" Target="../ink/ink44.xml"/><Relationship Id="rId15" Type="http://schemas.openxmlformats.org/officeDocument/2006/relationships/customXml" Target="../ink/ink54.xml"/><Relationship Id="rId10" Type="http://schemas.openxmlformats.org/officeDocument/2006/relationships/customXml" Target="../ink/ink49.xml"/><Relationship Id="rId4" Type="http://schemas.openxmlformats.org/officeDocument/2006/relationships/customXml" Target="../ink/ink43.xml"/><Relationship Id="rId9" Type="http://schemas.openxmlformats.org/officeDocument/2006/relationships/customXml" Target="../ink/ink48.xml"/><Relationship Id="rId14" Type="http://schemas.openxmlformats.org/officeDocument/2006/relationships/customXml" Target="../ink/ink53.xml"/></Relationships>
</file>

<file path=xl/drawings/_rels/drawing3.xml.rels><?xml version="1.0" encoding="UTF-8" standalone="yes"?>
<Relationships xmlns="http://schemas.openxmlformats.org/package/2006/relationships"><Relationship Id="rId8" Type="http://schemas.openxmlformats.org/officeDocument/2006/relationships/customXml" Target="../ink/ink63.xml"/><Relationship Id="rId13" Type="http://schemas.openxmlformats.org/officeDocument/2006/relationships/customXml" Target="../ink/ink68.xml"/><Relationship Id="rId18" Type="http://schemas.openxmlformats.org/officeDocument/2006/relationships/customXml" Target="../ink/ink73.xml"/><Relationship Id="rId3" Type="http://schemas.openxmlformats.org/officeDocument/2006/relationships/customXml" Target="../ink/ink58.xml"/><Relationship Id="rId21" Type="http://schemas.openxmlformats.org/officeDocument/2006/relationships/customXml" Target="../ink/ink76.xml"/><Relationship Id="rId7" Type="http://schemas.openxmlformats.org/officeDocument/2006/relationships/customXml" Target="../ink/ink62.xml"/><Relationship Id="rId12" Type="http://schemas.openxmlformats.org/officeDocument/2006/relationships/customXml" Target="../ink/ink67.xml"/><Relationship Id="rId17" Type="http://schemas.openxmlformats.org/officeDocument/2006/relationships/customXml" Target="../ink/ink72.xml"/><Relationship Id="rId2" Type="http://schemas.openxmlformats.org/officeDocument/2006/relationships/image" Target="../media/image1.png"/><Relationship Id="rId16" Type="http://schemas.openxmlformats.org/officeDocument/2006/relationships/customXml" Target="../ink/ink71.xml"/><Relationship Id="rId20" Type="http://schemas.openxmlformats.org/officeDocument/2006/relationships/customXml" Target="../ink/ink75.xml"/><Relationship Id="rId1" Type="http://schemas.openxmlformats.org/officeDocument/2006/relationships/customXml" Target="../ink/ink57.xml"/><Relationship Id="rId6" Type="http://schemas.openxmlformats.org/officeDocument/2006/relationships/customXml" Target="../ink/ink61.xml"/><Relationship Id="rId11" Type="http://schemas.openxmlformats.org/officeDocument/2006/relationships/customXml" Target="../ink/ink66.xml"/><Relationship Id="rId5" Type="http://schemas.openxmlformats.org/officeDocument/2006/relationships/customXml" Target="../ink/ink60.xml"/><Relationship Id="rId15" Type="http://schemas.openxmlformats.org/officeDocument/2006/relationships/customXml" Target="../ink/ink70.xml"/><Relationship Id="rId10" Type="http://schemas.openxmlformats.org/officeDocument/2006/relationships/customXml" Target="../ink/ink65.xml"/><Relationship Id="rId19" Type="http://schemas.openxmlformats.org/officeDocument/2006/relationships/customXml" Target="../ink/ink74.xml"/><Relationship Id="rId4" Type="http://schemas.openxmlformats.org/officeDocument/2006/relationships/customXml" Target="../ink/ink59.xml"/><Relationship Id="rId9" Type="http://schemas.openxmlformats.org/officeDocument/2006/relationships/customXml" Target="../ink/ink64.xml"/><Relationship Id="rId14" Type="http://schemas.openxmlformats.org/officeDocument/2006/relationships/customXml" Target="../ink/ink69.xml"/></Relationships>
</file>

<file path=xl/drawings/_rels/drawing4.xml.rels><?xml version="1.0" encoding="UTF-8" standalone="yes"?>
<Relationships xmlns="http://schemas.openxmlformats.org/package/2006/relationships"><Relationship Id="rId8" Type="http://schemas.openxmlformats.org/officeDocument/2006/relationships/customXml" Target="../ink/ink83.xml"/><Relationship Id="rId3" Type="http://schemas.openxmlformats.org/officeDocument/2006/relationships/customXml" Target="../ink/ink78.xml"/><Relationship Id="rId7" Type="http://schemas.openxmlformats.org/officeDocument/2006/relationships/customXml" Target="../ink/ink82.xml"/><Relationship Id="rId2" Type="http://schemas.openxmlformats.org/officeDocument/2006/relationships/image" Target="../media/image1.png"/><Relationship Id="rId1" Type="http://schemas.openxmlformats.org/officeDocument/2006/relationships/customXml" Target="../ink/ink77.xml"/><Relationship Id="rId6" Type="http://schemas.openxmlformats.org/officeDocument/2006/relationships/customXml" Target="../ink/ink81.xml"/><Relationship Id="rId5" Type="http://schemas.openxmlformats.org/officeDocument/2006/relationships/customXml" Target="../ink/ink80.xml"/><Relationship Id="rId4" Type="http://schemas.openxmlformats.org/officeDocument/2006/relationships/customXml" Target="../ink/ink79.xml"/><Relationship Id="rId9" Type="http://schemas.openxmlformats.org/officeDocument/2006/relationships/customXml" Target="../ink/ink84.xml"/></Relationships>
</file>

<file path=xl/drawings/_rels/drawing5.xml.rels><?xml version="1.0" encoding="UTF-8" standalone="yes"?>
<Relationships xmlns="http://schemas.openxmlformats.org/package/2006/relationships"><Relationship Id="rId8" Type="http://schemas.openxmlformats.org/officeDocument/2006/relationships/customXml" Target="../ink/ink91.xml"/><Relationship Id="rId13" Type="http://schemas.openxmlformats.org/officeDocument/2006/relationships/customXml" Target="../ink/ink96.xml"/><Relationship Id="rId3" Type="http://schemas.openxmlformats.org/officeDocument/2006/relationships/customXml" Target="../ink/ink86.xml"/><Relationship Id="rId7" Type="http://schemas.openxmlformats.org/officeDocument/2006/relationships/customXml" Target="../ink/ink90.xml"/><Relationship Id="rId12" Type="http://schemas.openxmlformats.org/officeDocument/2006/relationships/customXml" Target="../ink/ink95.xml"/><Relationship Id="rId17" Type="http://schemas.openxmlformats.org/officeDocument/2006/relationships/customXml" Target="../ink/ink100.xml"/><Relationship Id="rId2" Type="http://schemas.openxmlformats.org/officeDocument/2006/relationships/image" Target="../media/image1.png"/><Relationship Id="rId16" Type="http://schemas.openxmlformats.org/officeDocument/2006/relationships/customXml" Target="../ink/ink99.xml"/><Relationship Id="rId1" Type="http://schemas.openxmlformats.org/officeDocument/2006/relationships/customXml" Target="../ink/ink85.xml"/><Relationship Id="rId6" Type="http://schemas.openxmlformats.org/officeDocument/2006/relationships/customXml" Target="../ink/ink89.xml"/><Relationship Id="rId11" Type="http://schemas.openxmlformats.org/officeDocument/2006/relationships/customXml" Target="../ink/ink94.xml"/><Relationship Id="rId5" Type="http://schemas.openxmlformats.org/officeDocument/2006/relationships/customXml" Target="../ink/ink88.xml"/><Relationship Id="rId15" Type="http://schemas.openxmlformats.org/officeDocument/2006/relationships/customXml" Target="../ink/ink98.xml"/><Relationship Id="rId10" Type="http://schemas.openxmlformats.org/officeDocument/2006/relationships/customXml" Target="../ink/ink93.xml"/><Relationship Id="rId4" Type="http://schemas.openxmlformats.org/officeDocument/2006/relationships/customXml" Target="../ink/ink87.xml"/><Relationship Id="rId9" Type="http://schemas.openxmlformats.org/officeDocument/2006/relationships/customXml" Target="../ink/ink92.xml"/><Relationship Id="rId14" Type="http://schemas.openxmlformats.org/officeDocument/2006/relationships/customXml" Target="../ink/ink97.xml"/></Relationships>
</file>

<file path=xl/drawings/_rels/drawing6.xml.rels><?xml version="1.0" encoding="UTF-8" standalone="yes"?>
<Relationships xmlns="http://schemas.openxmlformats.org/package/2006/relationships"><Relationship Id="rId8" Type="http://schemas.openxmlformats.org/officeDocument/2006/relationships/customXml" Target="../ink/ink107.xml"/><Relationship Id="rId13" Type="http://schemas.openxmlformats.org/officeDocument/2006/relationships/customXml" Target="../ink/ink112.xml"/><Relationship Id="rId18" Type="http://schemas.openxmlformats.org/officeDocument/2006/relationships/customXml" Target="../ink/ink117.xml"/><Relationship Id="rId26" Type="http://schemas.openxmlformats.org/officeDocument/2006/relationships/customXml" Target="../ink/ink125.xml"/><Relationship Id="rId3" Type="http://schemas.openxmlformats.org/officeDocument/2006/relationships/customXml" Target="../ink/ink102.xml"/><Relationship Id="rId21" Type="http://schemas.openxmlformats.org/officeDocument/2006/relationships/customXml" Target="../ink/ink120.xml"/><Relationship Id="rId7" Type="http://schemas.openxmlformats.org/officeDocument/2006/relationships/customXml" Target="../ink/ink106.xml"/><Relationship Id="rId12" Type="http://schemas.openxmlformats.org/officeDocument/2006/relationships/customXml" Target="../ink/ink111.xml"/><Relationship Id="rId17" Type="http://schemas.openxmlformats.org/officeDocument/2006/relationships/customXml" Target="../ink/ink116.xml"/><Relationship Id="rId25" Type="http://schemas.openxmlformats.org/officeDocument/2006/relationships/customXml" Target="../ink/ink124.xml"/><Relationship Id="rId33" Type="http://schemas.openxmlformats.org/officeDocument/2006/relationships/customXml" Target="../ink/ink132.xml"/><Relationship Id="rId2" Type="http://schemas.openxmlformats.org/officeDocument/2006/relationships/image" Target="../media/image1.png"/><Relationship Id="rId16" Type="http://schemas.openxmlformats.org/officeDocument/2006/relationships/customXml" Target="../ink/ink115.xml"/><Relationship Id="rId20" Type="http://schemas.openxmlformats.org/officeDocument/2006/relationships/customXml" Target="../ink/ink119.xml"/><Relationship Id="rId29" Type="http://schemas.openxmlformats.org/officeDocument/2006/relationships/customXml" Target="../ink/ink128.xml"/><Relationship Id="rId1" Type="http://schemas.openxmlformats.org/officeDocument/2006/relationships/customXml" Target="../ink/ink101.xml"/><Relationship Id="rId6" Type="http://schemas.openxmlformats.org/officeDocument/2006/relationships/customXml" Target="../ink/ink105.xml"/><Relationship Id="rId11" Type="http://schemas.openxmlformats.org/officeDocument/2006/relationships/customXml" Target="../ink/ink110.xml"/><Relationship Id="rId24" Type="http://schemas.openxmlformats.org/officeDocument/2006/relationships/customXml" Target="../ink/ink123.xml"/><Relationship Id="rId32" Type="http://schemas.openxmlformats.org/officeDocument/2006/relationships/customXml" Target="../ink/ink131.xml"/><Relationship Id="rId5" Type="http://schemas.openxmlformats.org/officeDocument/2006/relationships/customXml" Target="../ink/ink104.xml"/><Relationship Id="rId15" Type="http://schemas.openxmlformats.org/officeDocument/2006/relationships/customXml" Target="../ink/ink114.xml"/><Relationship Id="rId23" Type="http://schemas.openxmlformats.org/officeDocument/2006/relationships/customXml" Target="../ink/ink122.xml"/><Relationship Id="rId28" Type="http://schemas.openxmlformats.org/officeDocument/2006/relationships/customXml" Target="../ink/ink127.xml"/><Relationship Id="rId10" Type="http://schemas.openxmlformats.org/officeDocument/2006/relationships/customXml" Target="../ink/ink109.xml"/><Relationship Id="rId19" Type="http://schemas.openxmlformats.org/officeDocument/2006/relationships/customXml" Target="../ink/ink118.xml"/><Relationship Id="rId31" Type="http://schemas.openxmlformats.org/officeDocument/2006/relationships/customXml" Target="../ink/ink130.xml"/><Relationship Id="rId4" Type="http://schemas.openxmlformats.org/officeDocument/2006/relationships/customXml" Target="../ink/ink103.xml"/><Relationship Id="rId9" Type="http://schemas.openxmlformats.org/officeDocument/2006/relationships/customXml" Target="../ink/ink108.xml"/><Relationship Id="rId14" Type="http://schemas.openxmlformats.org/officeDocument/2006/relationships/customXml" Target="../ink/ink113.xml"/><Relationship Id="rId22" Type="http://schemas.openxmlformats.org/officeDocument/2006/relationships/customXml" Target="../ink/ink121.xml"/><Relationship Id="rId27" Type="http://schemas.openxmlformats.org/officeDocument/2006/relationships/customXml" Target="../ink/ink126.xml"/><Relationship Id="rId30" Type="http://schemas.openxmlformats.org/officeDocument/2006/relationships/customXml" Target="../ink/ink129.xml"/></Relationships>
</file>

<file path=xl/drawings/_rels/drawing7.xml.rels><?xml version="1.0" encoding="UTF-8" standalone="yes"?>
<Relationships xmlns="http://schemas.openxmlformats.org/package/2006/relationships"><Relationship Id="rId8" Type="http://schemas.openxmlformats.org/officeDocument/2006/relationships/customXml" Target="../ink/ink139.xml"/><Relationship Id="rId13" Type="http://schemas.openxmlformats.org/officeDocument/2006/relationships/customXml" Target="../ink/ink144.xml"/><Relationship Id="rId18" Type="http://schemas.openxmlformats.org/officeDocument/2006/relationships/customXml" Target="../ink/ink149.xml"/><Relationship Id="rId26" Type="http://schemas.openxmlformats.org/officeDocument/2006/relationships/customXml" Target="../ink/ink157.xml"/><Relationship Id="rId3" Type="http://schemas.openxmlformats.org/officeDocument/2006/relationships/customXml" Target="../ink/ink134.xml"/><Relationship Id="rId21" Type="http://schemas.openxmlformats.org/officeDocument/2006/relationships/customXml" Target="../ink/ink152.xml"/><Relationship Id="rId34" Type="http://schemas.openxmlformats.org/officeDocument/2006/relationships/customXml" Target="../ink/ink165.xml"/><Relationship Id="rId7" Type="http://schemas.openxmlformats.org/officeDocument/2006/relationships/customXml" Target="../ink/ink138.xml"/><Relationship Id="rId12" Type="http://schemas.openxmlformats.org/officeDocument/2006/relationships/customXml" Target="../ink/ink143.xml"/><Relationship Id="rId17" Type="http://schemas.openxmlformats.org/officeDocument/2006/relationships/customXml" Target="../ink/ink148.xml"/><Relationship Id="rId25" Type="http://schemas.openxmlformats.org/officeDocument/2006/relationships/customXml" Target="../ink/ink156.xml"/><Relationship Id="rId33" Type="http://schemas.openxmlformats.org/officeDocument/2006/relationships/customXml" Target="../ink/ink164.xml"/><Relationship Id="rId2" Type="http://schemas.openxmlformats.org/officeDocument/2006/relationships/image" Target="../media/image1.png"/><Relationship Id="rId16" Type="http://schemas.openxmlformats.org/officeDocument/2006/relationships/customXml" Target="../ink/ink147.xml"/><Relationship Id="rId20" Type="http://schemas.openxmlformats.org/officeDocument/2006/relationships/customXml" Target="../ink/ink151.xml"/><Relationship Id="rId29" Type="http://schemas.openxmlformats.org/officeDocument/2006/relationships/customXml" Target="../ink/ink160.xml"/><Relationship Id="rId1" Type="http://schemas.openxmlformats.org/officeDocument/2006/relationships/customXml" Target="../ink/ink133.xml"/><Relationship Id="rId6" Type="http://schemas.openxmlformats.org/officeDocument/2006/relationships/customXml" Target="../ink/ink137.xml"/><Relationship Id="rId11" Type="http://schemas.openxmlformats.org/officeDocument/2006/relationships/customXml" Target="../ink/ink142.xml"/><Relationship Id="rId24" Type="http://schemas.openxmlformats.org/officeDocument/2006/relationships/customXml" Target="../ink/ink155.xml"/><Relationship Id="rId32" Type="http://schemas.openxmlformats.org/officeDocument/2006/relationships/customXml" Target="../ink/ink163.xml"/><Relationship Id="rId37" Type="http://schemas.openxmlformats.org/officeDocument/2006/relationships/customXml" Target="../ink/ink168.xml"/><Relationship Id="rId5" Type="http://schemas.openxmlformats.org/officeDocument/2006/relationships/customXml" Target="../ink/ink136.xml"/><Relationship Id="rId15" Type="http://schemas.openxmlformats.org/officeDocument/2006/relationships/customXml" Target="../ink/ink146.xml"/><Relationship Id="rId23" Type="http://schemas.openxmlformats.org/officeDocument/2006/relationships/customXml" Target="../ink/ink154.xml"/><Relationship Id="rId28" Type="http://schemas.openxmlformats.org/officeDocument/2006/relationships/customXml" Target="../ink/ink159.xml"/><Relationship Id="rId36" Type="http://schemas.openxmlformats.org/officeDocument/2006/relationships/customXml" Target="../ink/ink167.xml"/><Relationship Id="rId10" Type="http://schemas.openxmlformats.org/officeDocument/2006/relationships/customXml" Target="../ink/ink141.xml"/><Relationship Id="rId19" Type="http://schemas.openxmlformats.org/officeDocument/2006/relationships/customXml" Target="../ink/ink150.xml"/><Relationship Id="rId31" Type="http://schemas.openxmlformats.org/officeDocument/2006/relationships/customXml" Target="../ink/ink162.xml"/><Relationship Id="rId4" Type="http://schemas.openxmlformats.org/officeDocument/2006/relationships/customXml" Target="../ink/ink135.xml"/><Relationship Id="rId9" Type="http://schemas.openxmlformats.org/officeDocument/2006/relationships/customXml" Target="../ink/ink140.xml"/><Relationship Id="rId14" Type="http://schemas.openxmlformats.org/officeDocument/2006/relationships/customXml" Target="../ink/ink145.xml"/><Relationship Id="rId22" Type="http://schemas.openxmlformats.org/officeDocument/2006/relationships/customXml" Target="../ink/ink153.xml"/><Relationship Id="rId27" Type="http://schemas.openxmlformats.org/officeDocument/2006/relationships/customXml" Target="../ink/ink158.xml"/><Relationship Id="rId30" Type="http://schemas.openxmlformats.org/officeDocument/2006/relationships/customXml" Target="../ink/ink161.xml"/><Relationship Id="rId35" Type="http://schemas.openxmlformats.org/officeDocument/2006/relationships/customXml" Target="../ink/ink166.xml"/></Relationships>
</file>

<file path=xl/drawings/_rels/drawing8.xml.rels><?xml version="1.0" encoding="UTF-8" standalone="yes"?>
<Relationships xmlns="http://schemas.openxmlformats.org/package/2006/relationships"><Relationship Id="rId8" Type="http://schemas.openxmlformats.org/officeDocument/2006/relationships/customXml" Target="../ink/ink175.xml"/><Relationship Id="rId13" Type="http://schemas.openxmlformats.org/officeDocument/2006/relationships/customXml" Target="../ink/ink180.xml"/><Relationship Id="rId18" Type="http://schemas.openxmlformats.org/officeDocument/2006/relationships/customXml" Target="../ink/ink185.xml"/><Relationship Id="rId26" Type="http://schemas.openxmlformats.org/officeDocument/2006/relationships/customXml" Target="../ink/ink193.xml"/><Relationship Id="rId3" Type="http://schemas.openxmlformats.org/officeDocument/2006/relationships/customXml" Target="../ink/ink170.xml"/><Relationship Id="rId21" Type="http://schemas.openxmlformats.org/officeDocument/2006/relationships/customXml" Target="../ink/ink188.xml"/><Relationship Id="rId34" Type="http://schemas.openxmlformats.org/officeDocument/2006/relationships/customXml" Target="../ink/ink201.xml"/><Relationship Id="rId7" Type="http://schemas.openxmlformats.org/officeDocument/2006/relationships/customXml" Target="../ink/ink174.xml"/><Relationship Id="rId12" Type="http://schemas.openxmlformats.org/officeDocument/2006/relationships/customXml" Target="../ink/ink179.xml"/><Relationship Id="rId17" Type="http://schemas.openxmlformats.org/officeDocument/2006/relationships/customXml" Target="../ink/ink184.xml"/><Relationship Id="rId25" Type="http://schemas.openxmlformats.org/officeDocument/2006/relationships/customXml" Target="../ink/ink192.xml"/><Relationship Id="rId33" Type="http://schemas.openxmlformats.org/officeDocument/2006/relationships/customXml" Target="../ink/ink200.xml"/><Relationship Id="rId2" Type="http://schemas.openxmlformats.org/officeDocument/2006/relationships/image" Target="../media/image1.png"/><Relationship Id="rId16" Type="http://schemas.openxmlformats.org/officeDocument/2006/relationships/customXml" Target="../ink/ink183.xml"/><Relationship Id="rId20" Type="http://schemas.openxmlformats.org/officeDocument/2006/relationships/customXml" Target="../ink/ink187.xml"/><Relationship Id="rId29" Type="http://schemas.openxmlformats.org/officeDocument/2006/relationships/customXml" Target="../ink/ink196.xml"/><Relationship Id="rId1" Type="http://schemas.openxmlformats.org/officeDocument/2006/relationships/customXml" Target="../ink/ink169.xml"/><Relationship Id="rId6" Type="http://schemas.openxmlformats.org/officeDocument/2006/relationships/customXml" Target="../ink/ink173.xml"/><Relationship Id="rId11" Type="http://schemas.openxmlformats.org/officeDocument/2006/relationships/customXml" Target="../ink/ink178.xml"/><Relationship Id="rId24" Type="http://schemas.openxmlformats.org/officeDocument/2006/relationships/customXml" Target="../ink/ink191.xml"/><Relationship Id="rId32" Type="http://schemas.openxmlformats.org/officeDocument/2006/relationships/customXml" Target="../ink/ink199.xml"/><Relationship Id="rId37" Type="http://schemas.openxmlformats.org/officeDocument/2006/relationships/customXml" Target="../ink/ink204.xml"/><Relationship Id="rId5" Type="http://schemas.openxmlformats.org/officeDocument/2006/relationships/customXml" Target="../ink/ink172.xml"/><Relationship Id="rId15" Type="http://schemas.openxmlformats.org/officeDocument/2006/relationships/customXml" Target="../ink/ink182.xml"/><Relationship Id="rId23" Type="http://schemas.openxmlformats.org/officeDocument/2006/relationships/customXml" Target="../ink/ink190.xml"/><Relationship Id="rId28" Type="http://schemas.openxmlformats.org/officeDocument/2006/relationships/customXml" Target="../ink/ink195.xml"/><Relationship Id="rId36" Type="http://schemas.openxmlformats.org/officeDocument/2006/relationships/customXml" Target="../ink/ink203.xml"/><Relationship Id="rId10" Type="http://schemas.openxmlformats.org/officeDocument/2006/relationships/customXml" Target="../ink/ink177.xml"/><Relationship Id="rId19" Type="http://schemas.openxmlformats.org/officeDocument/2006/relationships/customXml" Target="../ink/ink186.xml"/><Relationship Id="rId31" Type="http://schemas.openxmlformats.org/officeDocument/2006/relationships/customXml" Target="../ink/ink198.xml"/><Relationship Id="rId4" Type="http://schemas.openxmlformats.org/officeDocument/2006/relationships/customXml" Target="../ink/ink171.xml"/><Relationship Id="rId9" Type="http://schemas.openxmlformats.org/officeDocument/2006/relationships/customXml" Target="../ink/ink176.xml"/><Relationship Id="rId14" Type="http://schemas.openxmlformats.org/officeDocument/2006/relationships/customXml" Target="../ink/ink181.xml"/><Relationship Id="rId22" Type="http://schemas.openxmlformats.org/officeDocument/2006/relationships/customXml" Target="../ink/ink189.xml"/><Relationship Id="rId27" Type="http://schemas.openxmlformats.org/officeDocument/2006/relationships/customXml" Target="../ink/ink194.xml"/><Relationship Id="rId30" Type="http://schemas.openxmlformats.org/officeDocument/2006/relationships/customXml" Target="../ink/ink197.xml"/><Relationship Id="rId35" Type="http://schemas.openxmlformats.org/officeDocument/2006/relationships/customXml" Target="../ink/ink202.xml"/></Relationships>
</file>

<file path=xl/drawings/_rels/drawing9.xml.rels><?xml version="1.0" encoding="UTF-8" standalone="yes"?>
<Relationships xmlns="http://schemas.openxmlformats.org/package/2006/relationships"><Relationship Id="rId8" Type="http://schemas.openxmlformats.org/officeDocument/2006/relationships/customXml" Target="../ink/ink211.xml"/><Relationship Id="rId13" Type="http://schemas.openxmlformats.org/officeDocument/2006/relationships/customXml" Target="../ink/ink216.xml"/><Relationship Id="rId3" Type="http://schemas.openxmlformats.org/officeDocument/2006/relationships/customXml" Target="../ink/ink206.xml"/><Relationship Id="rId7" Type="http://schemas.openxmlformats.org/officeDocument/2006/relationships/customXml" Target="../ink/ink210.xml"/><Relationship Id="rId12" Type="http://schemas.openxmlformats.org/officeDocument/2006/relationships/customXml" Target="../ink/ink215.xml"/><Relationship Id="rId2" Type="http://schemas.openxmlformats.org/officeDocument/2006/relationships/image" Target="../media/image1.png"/><Relationship Id="rId1" Type="http://schemas.openxmlformats.org/officeDocument/2006/relationships/customXml" Target="../ink/ink205.xml"/><Relationship Id="rId6" Type="http://schemas.openxmlformats.org/officeDocument/2006/relationships/customXml" Target="../ink/ink209.xml"/><Relationship Id="rId11" Type="http://schemas.openxmlformats.org/officeDocument/2006/relationships/customXml" Target="../ink/ink214.xml"/><Relationship Id="rId5" Type="http://schemas.openxmlformats.org/officeDocument/2006/relationships/customXml" Target="../ink/ink208.xml"/><Relationship Id="rId10" Type="http://schemas.openxmlformats.org/officeDocument/2006/relationships/customXml" Target="../ink/ink213.xml"/><Relationship Id="rId4" Type="http://schemas.openxmlformats.org/officeDocument/2006/relationships/customXml" Target="../ink/ink207.xml"/><Relationship Id="rId9" Type="http://schemas.openxmlformats.org/officeDocument/2006/relationships/customXml" Target="../ink/ink212.xml"/></Relationships>
</file>

<file path=xl/drawings/_rels/drawing10.xml.rels><?xml version="1.0" encoding="UTF-8" standalone="yes"?>
<Relationships xmlns="http://schemas.openxmlformats.org/package/2006/relationships"><Relationship Id="rId13" Type="http://schemas.openxmlformats.org/officeDocument/2006/relationships/customXml" Target="../ink/ink228.xml"/><Relationship Id="rId18" Type="http://schemas.openxmlformats.org/officeDocument/2006/relationships/customXml" Target="../ink/ink233.xml"/><Relationship Id="rId26" Type="http://schemas.openxmlformats.org/officeDocument/2006/relationships/customXml" Target="../ink/ink241.xml"/><Relationship Id="rId39" Type="http://schemas.openxmlformats.org/officeDocument/2006/relationships/customXml" Target="../ink/ink254.xml"/><Relationship Id="rId3" Type="http://schemas.openxmlformats.org/officeDocument/2006/relationships/customXml" Target="../ink/ink218.xml"/><Relationship Id="rId21" Type="http://schemas.openxmlformats.org/officeDocument/2006/relationships/customXml" Target="../ink/ink236.xml"/><Relationship Id="rId34" Type="http://schemas.openxmlformats.org/officeDocument/2006/relationships/customXml" Target="../ink/ink249.xml"/><Relationship Id="rId42" Type="http://schemas.openxmlformats.org/officeDocument/2006/relationships/customXml" Target="../ink/ink257.xml"/><Relationship Id="rId47" Type="http://schemas.openxmlformats.org/officeDocument/2006/relationships/customXml" Target="../ink/ink262.xml"/><Relationship Id="rId7" Type="http://schemas.openxmlformats.org/officeDocument/2006/relationships/customXml" Target="../ink/ink222.xml"/><Relationship Id="rId12" Type="http://schemas.openxmlformats.org/officeDocument/2006/relationships/customXml" Target="../ink/ink227.xml"/><Relationship Id="rId17" Type="http://schemas.openxmlformats.org/officeDocument/2006/relationships/customXml" Target="../ink/ink232.xml"/><Relationship Id="rId25" Type="http://schemas.openxmlformats.org/officeDocument/2006/relationships/customXml" Target="../ink/ink240.xml"/><Relationship Id="rId33" Type="http://schemas.openxmlformats.org/officeDocument/2006/relationships/customXml" Target="../ink/ink248.xml"/><Relationship Id="rId38" Type="http://schemas.openxmlformats.org/officeDocument/2006/relationships/customXml" Target="../ink/ink253.xml"/><Relationship Id="rId46" Type="http://schemas.openxmlformats.org/officeDocument/2006/relationships/customXml" Target="../ink/ink261.xml"/><Relationship Id="rId2" Type="http://schemas.openxmlformats.org/officeDocument/2006/relationships/image" Target="../media/image1.png"/><Relationship Id="rId16" Type="http://schemas.openxmlformats.org/officeDocument/2006/relationships/customXml" Target="../ink/ink231.xml"/><Relationship Id="rId20" Type="http://schemas.openxmlformats.org/officeDocument/2006/relationships/customXml" Target="../ink/ink235.xml"/><Relationship Id="rId29" Type="http://schemas.openxmlformats.org/officeDocument/2006/relationships/customXml" Target="../ink/ink244.xml"/><Relationship Id="rId41" Type="http://schemas.openxmlformats.org/officeDocument/2006/relationships/customXml" Target="../ink/ink256.xml"/><Relationship Id="rId1" Type="http://schemas.openxmlformats.org/officeDocument/2006/relationships/customXml" Target="../ink/ink217.xml"/><Relationship Id="rId6" Type="http://schemas.openxmlformats.org/officeDocument/2006/relationships/customXml" Target="../ink/ink221.xml"/><Relationship Id="rId11" Type="http://schemas.openxmlformats.org/officeDocument/2006/relationships/customXml" Target="../ink/ink226.xml"/><Relationship Id="rId24" Type="http://schemas.openxmlformats.org/officeDocument/2006/relationships/customXml" Target="../ink/ink239.xml"/><Relationship Id="rId32" Type="http://schemas.openxmlformats.org/officeDocument/2006/relationships/customXml" Target="../ink/ink247.xml"/><Relationship Id="rId37" Type="http://schemas.openxmlformats.org/officeDocument/2006/relationships/customXml" Target="../ink/ink252.xml"/><Relationship Id="rId40" Type="http://schemas.openxmlformats.org/officeDocument/2006/relationships/customXml" Target="../ink/ink255.xml"/><Relationship Id="rId45" Type="http://schemas.openxmlformats.org/officeDocument/2006/relationships/customXml" Target="../ink/ink260.xml"/><Relationship Id="rId5" Type="http://schemas.openxmlformats.org/officeDocument/2006/relationships/customXml" Target="../ink/ink220.xml"/><Relationship Id="rId15" Type="http://schemas.openxmlformats.org/officeDocument/2006/relationships/customXml" Target="../ink/ink230.xml"/><Relationship Id="rId23" Type="http://schemas.openxmlformats.org/officeDocument/2006/relationships/customXml" Target="../ink/ink238.xml"/><Relationship Id="rId28" Type="http://schemas.openxmlformats.org/officeDocument/2006/relationships/customXml" Target="../ink/ink243.xml"/><Relationship Id="rId36" Type="http://schemas.openxmlformats.org/officeDocument/2006/relationships/customXml" Target="../ink/ink251.xml"/><Relationship Id="rId49" Type="http://schemas.openxmlformats.org/officeDocument/2006/relationships/customXml" Target="../ink/ink264.xml"/><Relationship Id="rId10" Type="http://schemas.openxmlformats.org/officeDocument/2006/relationships/customXml" Target="../ink/ink225.xml"/><Relationship Id="rId19" Type="http://schemas.openxmlformats.org/officeDocument/2006/relationships/customXml" Target="../ink/ink234.xml"/><Relationship Id="rId31" Type="http://schemas.openxmlformats.org/officeDocument/2006/relationships/customXml" Target="../ink/ink246.xml"/><Relationship Id="rId44" Type="http://schemas.openxmlformats.org/officeDocument/2006/relationships/customXml" Target="../ink/ink259.xml"/><Relationship Id="rId4" Type="http://schemas.openxmlformats.org/officeDocument/2006/relationships/customXml" Target="../ink/ink219.xml"/><Relationship Id="rId9" Type="http://schemas.openxmlformats.org/officeDocument/2006/relationships/customXml" Target="../ink/ink224.xml"/><Relationship Id="rId14" Type="http://schemas.openxmlformats.org/officeDocument/2006/relationships/customXml" Target="../ink/ink229.xml"/><Relationship Id="rId22" Type="http://schemas.openxmlformats.org/officeDocument/2006/relationships/customXml" Target="../ink/ink237.xml"/><Relationship Id="rId27" Type="http://schemas.openxmlformats.org/officeDocument/2006/relationships/customXml" Target="../ink/ink242.xml"/><Relationship Id="rId30" Type="http://schemas.openxmlformats.org/officeDocument/2006/relationships/customXml" Target="../ink/ink245.xml"/><Relationship Id="rId35" Type="http://schemas.openxmlformats.org/officeDocument/2006/relationships/customXml" Target="../ink/ink250.xml"/><Relationship Id="rId43" Type="http://schemas.openxmlformats.org/officeDocument/2006/relationships/customXml" Target="../ink/ink258.xml"/><Relationship Id="rId48" Type="http://schemas.openxmlformats.org/officeDocument/2006/relationships/customXml" Target="../ink/ink263.xml"/><Relationship Id="rId8" Type="http://schemas.openxmlformats.org/officeDocument/2006/relationships/customXml" Target="../ink/ink223.xml"/></Relationships>
</file>

<file path=xl/drawings/_rels/drawing11.xml.rels><?xml version="1.0" encoding="UTF-8" standalone="yes"?>
<Relationships xmlns="http://schemas.openxmlformats.org/package/2006/relationships"><Relationship Id="rId26" Type="http://schemas.openxmlformats.org/officeDocument/2006/relationships/customXml" Target="../ink/ink288.xml"/><Relationship Id="rId21" Type="http://schemas.openxmlformats.org/officeDocument/2006/relationships/customXml" Target="../ink/ink283.xml"/><Relationship Id="rId42" Type="http://schemas.openxmlformats.org/officeDocument/2006/relationships/customXml" Target="../ink/ink304.xml"/><Relationship Id="rId47" Type="http://schemas.openxmlformats.org/officeDocument/2006/relationships/customXml" Target="../ink/ink309.xml"/><Relationship Id="rId63" Type="http://schemas.openxmlformats.org/officeDocument/2006/relationships/customXml" Target="../ink/ink324.xml"/><Relationship Id="rId68" Type="http://schemas.openxmlformats.org/officeDocument/2006/relationships/customXml" Target="../ink/ink329.xml"/><Relationship Id="rId84" Type="http://schemas.openxmlformats.org/officeDocument/2006/relationships/customXml" Target="../ink/ink345.xml"/><Relationship Id="rId89" Type="http://schemas.openxmlformats.org/officeDocument/2006/relationships/customXml" Target="../ink/ink350.xml"/><Relationship Id="rId7" Type="http://schemas.openxmlformats.org/officeDocument/2006/relationships/image" Target="../media/image1.png"/><Relationship Id="rId71" Type="http://schemas.openxmlformats.org/officeDocument/2006/relationships/customXml" Target="../ink/ink332.xml"/><Relationship Id="rId92" Type="http://schemas.openxmlformats.org/officeDocument/2006/relationships/customXml" Target="../ink/ink353.xml"/><Relationship Id="rId2" Type="http://schemas.openxmlformats.org/officeDocument/2006/relationships/image" Target="../media/image1.png"/><Relationship Id="rId16" Type="http://schemas.openxmlformats.org/officeDocument/2006/relationships/customXml" Target="../ink/ink278.xml"/><Relationship Id="rId29" Type="http://schemas.openxmlformats.org/officeDocument/2006/relationships/customXml" Target="../ink/ink291.xml"/><Relationship Id="rId11" Type="http://schemas.openxmlformats.org/officeDocument/2006/relationships/customXml" Target="../ink/ink273.xml"/><Relationship Id="rId24" Type="http://schemas.openxmlformats.org/officeDocument/2006/relationships/customXml" Target="../ink/ink286.xml"/><Relationship Id="rId32" Type="http://schemas.openxmlformats.org/officeDocument/2006/relationships/customXml" Target="../ink/ink294.xml"/><Relationship Id="rId37" Type="http://schemas.openxmlformats.org/officeDocument/2006/relationships/customXml" Target="../ink/ink299.xml"/><Relationship Id="rId40" Type="http://schemas.openxmlformats.org/officeDocument/2006/relationships/customXml" Target="../ink/ink302.xml"/><Relationship Id="rId45" Type="http://schemas.openxmlformats.org/officeDocument/2006/relationships/customXml" Target="../ink/ink307.xml"/><Relationship Id="rId53" Type="http://schemas.openxmlformats.org/officeDocument/2006/relationships/customXml" Target="../ink/ink315.xml"/><Relationship Id="rId58" Type="http://schemas.openxmlformats.org/officeDocument/2006/relationships/customXml" Target="../ink/ink319.xml"/><Relationship Id="rId66" Type="http://schemas.openxmlformats.org/officeDocument/2006/relationships/customXml" Target="../ink/ink327.xml"/><Relationship Id="rId74" Type="http://schemas.openxmlformats.org/officeDocument/2006/relationships/customXml" Target="../ink/ink335.xml"/><Relationship Id="rId79" Type="http://schemas.openxmlformats.org/officeDocument/2006/relationships/customXml" Target="../ink/ink340.xml"/><Relationship Id="rId87" Type="http://schemas.openxmlformats.org/officeDocument/2006/relationships/customXml" Target="../ink/ink348.xml"/><Relationship Id="rId102" Type="http://schemas.openxmlformats.org/officeDocument/2006/relationships/customXml" Target="../ink/ink363.xml"/><Relationship Id="rId5" Type="http://schemas.openxmlformats.org/officeDocument/2006/relationships/customXml" Target="../ink/ink268.xml"/><Relationship Id="rId61" Type="http://schemas.openxmlformats.org/officeDocument/2006/relationships/customXml" Target="../ink/ink322.xml"/><Relationship Id="rId82" Type="http://schemas.openxmlformats.org/officeDocument/2006/relationships/customXml" Target="../ink/ink343.xml"/><Relationship Id="rId90" Type="http://schemas.openxmlformats.org/officeDocument/2006/relationships/customXml" Target="../ink/ink351.xml"/><Relationship Id="rId95" Type="http://schemas.openxmlformats.org/officeDocument/2006/relationships/customXml" Target="../ink/ink356.xml"/><Relationship Id="rId19" Type="http://schemas.openxmlformats.org/officeDocument/2006/relationships/customXml" Target="../ink/ink281.xml"/><Relationship Id="rId14" Type="http://schemas.openxmlformats.org/officeDocument/2006/relationships/customXml" Target="../ink/ink276.xml"/><Relationship Id="rId22" Type="http://schemas.openxmlformats.org/officeDocument/2006/relationships/customXml" Target="../ink/ink284.xml"/><Relationship Id="rId27" Type="http://schemas.openxmlformats.org/officeDocument/2006/relationships/customXml" Target="../ink/ink289.xml"/><Relationship Id="rId30" Type="http://schemas.openxmlformats.org/officeDocument/2006/relationships/customXml" Target="../ink/ink292.xml"/><Relationship Id="rId35" Type="http://schemas.openxmlformats.org/officeDocument/2006/relationships/customXml" Target="../ink/ink297.xml"/><Relationship Id="rId43" Type="http://schemas.openxmlformats.org/officeDocument/2006/relationships/customXml" Target="../ink/ink305.xml"/><Relationship Id="rId48" Type="http://schemas.openxmlformats.org/officeDocument/2006/relationships/customXml" Target="../ink/ink310.xml"/><Relationship Id="rId56" Type="http://schemas.openxmlformats.org/officeDocument/2006/relationships/image" Target="../media/image1.png"/><Relationship Id="rId64" Type="http://schemas.openxmlformats.org/officeDocument/2006/relationships/customXml" Target="../ink/ink325.xml"/><Relationship Id="rId69" Type="http://schemas.openxmlformats.org/officeDocument/2006/relationships/customXml" Target="../ink/ink330.xml"/><Relationship Id="rId77" Type="http://schemas.openxmlformats.org/officeDocument/2006/relationships/customXml" Target="../ink/ink338.xml"/><Relationship Id="rId100" Type="http://schemas.openxmlformats.org/officeDocument/2006/relationships/customXml" Target="../ink/ink361.xml"/><Relationship Id="rId8" Type="http://schemas.openxmlformats.org/officeDocument/2006/relationships/customXml" Target="../ink/ink270.xml"/><Relationship Id="rId51" Type="http://schemas.openxmlformats.org/officeDocument/2006/relationships/customXml" Target="../ink/ink313.xml"/><Relationship Id="rId72" Type="http://schemas.openxmlformats.org/officeDocument/2006/relationships/customXml" Target="../ink/ink333.xml"/><Relationship Id="rId80" Type="http://schemas.openxmlformats.org/officeDocument/2006/relationships/customXml" Target="../ink/ink341.xml"/><Relationship Id="rId85" Type="http://schemas.openxmlformats.org/officeDocument/2006/relationships/customXml" Target="../ink/ink346.xml"/><Relationship Id="rId93" Type="http://schemas.openxmlformats.org/officeDocument/2006/relationships/customXml" Target="../ink/ink354.xml"/><Relationship Id="rId98" Type="http://schemas.openxmlformats.org/officeDocument/2006/relationships/customXml" Target="../ink/ink359.xml"/><Relationship Id="rId3" Type="http://schemas.openxmlformats.org/officeDocument/2006/relationships/customXml" Target="../ink/ink266.xml"/><Relationship Id="rId12" Type="http://schemas.openxmlformats.org/officeDocument/2006/relationships/customXml" Target="../ink/ink274.xml"/><Relationship Id="rId17" Type="http://schemas.openxmlformats.org/officeDocument/2006/relationships/customXml" Target="../ink/ink279.xml"/><Relationship Id="rId25" Type="http://schemas.openxmlformats.org/officeDocument/2006/relationships/customXml" Target="../ink/ink287.xml"/><Relationship Id="rId33" Type="http://schemas.openxmlformats.org/officeDocument/2006/relationships/customXml" Target="../ink/ink295.xml"/><Relationship Id="rId38" Type="http://schemas.openxmlformats.org/officeDocument/2006/relationships/customXml" Target="../ink/ink300.xml"/><Relationship Id="rId46" Type="http://schemas.openxmlformats.org/officeDocument/2006/relationships/customXml" Target="../ink/ink308.xml"/><Relationship Id="rId59" Type="http://schemas.openxmlformats.org/officeDocument/2006/relationships/customXml" Target="../ink/ink320.xml"/><Relationship Id="rId67" Type="http://schemas.openxmlformats.org/officeDocument/2006/relationships/customXml" Target="../ink/ink328.xml"/><Relationship Id="rId103" Type="http://schemas.openxmlformats.org/officeDocument/2006/relationships/customXml" Target="../ink/ink364.xml"/><Relationship Id="rId20" Type="http://schemas.openxmlformats.org/officeDocument/2006/relationships/customXml" Target="../ink/ink282.xml"/><Relationship Id="rId41" Type="http://schemas.openxmlformats.org/officeDocument/2006/relationships/customXml" Target="../ink/ink303.xml"/><Relationship Id="rId54" Type="http://schemas.openxmlformats.org/officeDocument/2006/relationships/customXml" Target="../ink/ink316.xml"/><Relationship Id="rId62" Type="http://schemas.openxmlformats.org/officeDocument/2006/relationships/customXml" Target="../ink/ink323.xml"/><Relationship Id="rId70" Type="http://schemas.openxmlformats.org/officeDocument/2006/relationships/customXml" Target="../ink/ink331.xml"/><Relationship Id="rId75" Type="http://schemas.openxmlformats.org/officeDocument/2006/relationships/customXml" Target="../ink/ink336.xml"/><Relationship Id="rId83" Type="http://schemas.openxmlformats.org/officeDocument/2006/relationships/customXml" Target="../ink/ink344.xml"/><Relationship Id="rId88" Type="http://schemas.openxmlformats.org/officeDocument/2006/relationships/customXml" Target="../ink/ink349.xml"/><Relationship Id="rId91" Type="http://schemas.openxmlformats.org/officeDocument/2006/relationships/customXml" Target="../ink/ink352.xml"/><Relationship Id="rId96" Type="http://schemas.openxmlformats.org/officeDocument/2006/relationships/customXml" Target="../ink/ink357.xml"/><Relationship Id="rId1" Type="http://schemas.openxmlformats.org/officeDocument/2006/relationships/customXml" Target="../ink/ink265.xml"/><Relationship Id="rId6" Type="http://schemas.openxmlformats.org/officeDocument/2006/relationships/customXml" Target="../ink/ink269.xml"/><Relationship Id="rId15" Type="http://schemas.openxmlformats.org/officeDocument/2006/relationships/customXml" Target="../ink/ink277.xml"/><Relationship Id="rId23" Type="http://schemas.openxmlformats.org/officeDocument/2006/relationships/customXml" Target="../ink/ink285.xml"/><Relationship Id="rId28" Type="http://schemas.openxmlformats.org/officeDocument/2006/relationships/customXml" Target="../ink/ink290.xml"/><Relationship Id="rId36" Type="http://schemas.openxmlformats.org/officeDocument/2006/relationships/customXml" Target="../ink/ink298.xml"/><Relationship Id="rId49" Type="http://schemas.openxmlformats.org/officeDocument/2006/relationships/customXml" Target="../ink/ink311.xml"/><Relationship Id="rId57" Type="http://schemas.openxmlformats.org/officeDocument/2006/relationships/customXml" Target="../ink/ink318.xml"/><Relationship Id="rId10" Type="http://schemas.openxmlformats.org/officeDocument/2006/relationships/customXml" Target="../ink/ink272.xml"/><Relationship Id="rId31" Type="http://schemas.openxmlformats.org/officeDocument/2006/relationships/customXml" Target="../ink/ink293.xml"/><Relationship Id="rId44" Type="http://schemas.openxmlformats.org/officeDocument/2006/relationships/customXml" Target="../ink/ink306.xml"/><Relationship Id="rId52" Type="http://schemas.openxmlformats.org/officeDocument/2006/relationships/customXml" Target="../ink/ink314.xml"/><Relationship Id="rId60" Type="http://schemas.openxmlformats.org/officeDocument/2006/relationships/customXml" Target="../ink/ink321.xml"/><Relationship Id="rId65" Type="http://schemas.openxmlformats.org/officeDocument/2006/relationships/customXml" Target="../ink/ink326.xml"/><Relationship Id="rId73" Type="http://schemas.openxmlformats.org/officeDocument/2006/relationships/customXml" Target="../ink/ink334.xml"/><Relationship Id="rId78" Type="http://schemas.openxmlformats.org/officeDocument/2006/relationships/customXml" Target="../ink/ink339.xml"/><Relationship Id="rId81" Type="http://schemas.openxmlformats.org/officeDocument/2006/relationships/customXml" Target="../ink/ink342.xml"/><Relationship Id="rId86" Type="http://schemas.openxmlformats.org/officeDocument/2006/relationships/customXml" Target="../ink/ink347.xml"/><Relationship Id="rId94" Type="http://schemas.openxmlformats.org/officeDocument/2006/relationships/customXml" Target="../ink/ink355.xml"/><Relationship Id="rId99" Type="http://schemas.openxmlformats.org/officeDocument/2006/relationships/customXml" Target="../ink/ink360.xml"/><Relationship Id="rId101" Type="http://schemas.openxmlformats.org/officeDocument/2006/relationships/customXml" Target="../ink/ink362.xml"/><Relationship Id="rId4" Type="http://schemas.openxmlformats.org/officeDocument/2006/relationships/customXml" Target="../ink/ink267.xml"/><Relationship Id="rId9" Type="http://schemas.openxmlformats.org/officeDocument/2006/relationships/customXml" Target="../ink/ink271.xml"/><Relationship Id="rId13" Type="http://schemas.openxmlformats.org/officeDocument/2006/relationships/customXml" Target="../ink/ink275.xml"/><Relationship Id="rId18" Type="http://schemas.openxmlformats.org/officeDocument/2006/relationships/customXml" Target="../ink/ink280.xml"/><Relationship Id="rId39" Type="http://schemas.openxmlformats.org/officeDocument/2006/relationships/customXml" Target="../ink/ink301.xml"/><Relationship Id="rId34" Type="http://schemas.openxmlformats.org/officeDocument/2006/relationships/customXml" Target="../ink/ink296.xml"/><Relationship Id="rId50" Type="http://schemas.openxmlformats.org/officeDocument/2006/relationships/customXml" Target="../ink/ink312.xml"/><Relationship Id="rId55" Type="http://schemas.openxmlformats.org/officeDocument/2006/relationships/customXml" Target="../ink/ink317.xml"/><Relationship Id="rId76" Type="http://schemas.openxmlformats.org/officeDocument/2006/relationships/customXml" Target="../ink/ink337.xml"/><Relationship Id="rId97" Type="http://schemas.openxmlformats.org/officeDocument/2006/relationships/customXml" Target="../ink/ink358.xml"/></Relationships>
</file>

<file path=xl/drawings/_rels/drawing12.xml.rels><?xml version="1.0" encoding="UTF-8" standalone="yes"?>
<Relationships xmlns="http://schemas.openxmlformats.org/package/2006/relationships"><Relationship Id="rId3" Type="http://schemas.openxmlformats.org/officeDocument/2006/relationships/customXml" Target="../ink/ink366.xml"/><Relationship Id="rId2" Type="http://schemas.openxmlformats.org/officeDocument/2006/relationships/image" Target="../media/image1.png"/><Relationship Id="rId1" Type="http://schemas.openxmlformats.org/officeDocument/2006/relationships/customXml" Target="../ink/ink365.xml"/><Relationship Id="rId5" Type="http://schemas.openxmlformats.org/officeDocument/2006/relationships/customXml" Target="../ink/ink368.xml"/><Relationship Id="rId4" Type="http://schemas.openxmlformats.org/officeDocument/2006/relationships/customXml" Target="../ink/ink367.xml"/></Relationships>
</file>

<file path=xl/drawings/drawing1.xml><?xml version="1.0" encoding="utf-8"?>
<xdr:wsDr xmlns:xdr="http://schemas.openxmlformats.org/drawingml/2006/spreadsheetDrawing" xmlns:a="http://schemas.openxmlformats.org/drawingml/2006/main">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8" name="Ink 1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9" name="Ink 1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0" name="Ink 1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1" name="Ink 2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2" name="Ink 2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3" name="Ink 2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4" name="Ink 2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5" name="Ink 2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6" name="Ink 2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7" name="Ink 2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8" name="Ink 2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9" name="Ink 2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0" name="Ink 2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1" name="Ink 3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2" name="Ink 3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3" name="Ink 3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4" name="Ink 3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5" name="Ink 3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6" name="Ink 3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37" name="Ink 3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38" name="Ink 3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39" name="Ink 3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40" name="Ink 3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41" name="Ink 4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53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53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53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53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8" name="Ink 1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9" name="Ink 1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0" name="Ink 1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1" name="Ink 2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20</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20</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20</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20</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64</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64</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64</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64</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84</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84</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84</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84</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87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8" name="Ink 1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9" name="Ink 1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0" name="Ink 1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1" name="Ink 2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2" name="Ink 2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3" name="Ink 2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4" name="Ink 2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5" name="Ink 2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6" name="Ink 2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7" name="Ink 2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8" name="Ink 2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9" name="Ink 2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0" name="Ink 2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1" name="Ink 3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2" name="Ink 3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75</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3" name="Ink 3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8" name="Ink 1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9" name="Ink 1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0" name="Ink 1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1" name="Ink 2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2" name="Ink 2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3" name="Ink 2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4" name="Ink 2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5" name="Ink 2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6" name="Ink 2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7" name="Ink 2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8" name="Ink 2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9" name="Ink 2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0" name="Ink 2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1" name="Ink 3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2" name="Ink 3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3" name="Ink 3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4" name="Ink 3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5" name="Ink 3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6" name="Ink 3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42</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37" name="Ink 3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97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8" name="Ink 1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9" name="Ink 1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0" name="Ink 1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1" name="Ink 2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2" name="Ink 2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3" name="Ink 2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4" name="Ink 2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5" name="Ink 2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6" name="Ink 2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7" name="Ink 2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8" name="Ink 2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9" name="Ink 2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0" name="Ink 2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1" name="Ink 3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2" name="Ink 3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3" name="Ink 3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4" name="Ink 3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5" name="Ink 3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6" name="Ink 3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37" name="Ink 3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68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47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69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69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16</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16</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16</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16</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8" name="Ink 1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9" name="Ink 1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1" name="Ink 2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22" name="Ink 2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23" name="Ink 2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4" name="Ink 2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5" name="Ink 2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6" name="Ink 2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7" name="Ink 2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8" name="Ink 2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9" name="Ink 2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30" name="Ink 2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31" name="Ink 3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32" name="Ink 3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33" name="Ink 3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4" name="Ink 3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5" name="Ink 3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6" name="Ink 3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7" name="Ink 3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8" name="Ink 3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9" name="Ink 3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40" name="Ink 3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41" name="Ink 4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42" name="Ink 4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43" name="Ink 4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44" name="Ink 4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45" name="Ink 4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46" name="Ink 4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47" name="Ink 4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48" name="Ink 4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11</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49" name="Ink 4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50" name="Ink 4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51" name="Ink 5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52" name="Ink 5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53" name="Ink 5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19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19</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7" name="Ink 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 name="Ink 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 name="Ink 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0" name="Ink 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1" name="Ink 1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2" name="Ink 1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3" name="Ink 1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20</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4" name="Ink 1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20</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20</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6" name="Ink 1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20</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7" name="Ink 1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8" name="Ink 1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9" name="Ink 1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0" name="Ink 1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1" name="Ink 2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2" name="Ink 2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4" name="Ink 2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5" name="Ink 2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6" name="Ink 2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7" name="Ink 2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8" name="Ink 2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9" name="Ink 2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0" name="Ink 2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1" name="Ink 3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2" name="Ink 3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3" name="Ink 3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4" name="Ink 3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5" name="Ink 3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36" name="Ink 3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37" name="Ink 3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38" name="Ink 3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39" name="Ink 3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40" name="Ink 3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41" name="Ink 4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42" name="Ink 4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43" name="Ink 4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44" name="Ink 4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45" name="Ink 4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46" name="Ink 4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47" name="Ink 4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48" name="Ink 4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18</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49" name="Ink 4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50" name="Ink 4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51" name="Ink 5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52" name="Ink 5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53" name="Ink 5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7"/>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16</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54" name="Ink 5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16</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55" name="Ink 5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16</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56" name="Ink 5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16</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57" name="Ink 5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58" name="Ink 5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59" name="Ink 5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60" name="Ink 5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61" name="Ink 6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62" name="Ink 6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63" name="Ink 6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64" name="Ink 6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65" name="Ink 6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66" name="Ink 6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67" name="Ink 6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68" name="Ink 6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69" name="Ink 6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70" name="Ink 6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71" name="Ink 7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72" name="Ink 7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73" name="Ink 7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74" name="Ink 7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75" name="Ink 7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76" name="Ink 7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77" name="Ink 7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78" name="Ink 7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79" name="Ink 7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80" name="Ink 7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81" name="Ink 8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82" name="Ink 8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83" name="Ink 8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84" name="Ink 8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85" name="Ink 8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86" name="Ink 8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87" name="Ink 8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88" name="Ink 8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89" name="Ink 8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90" name="Ink 8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91" name="Ink 9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92" name="Ink 9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93" name="Ink 9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94" name="Ink 9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95" name="Ink 9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96" name="Ink 95">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97" name="Ink 96">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98" name="Ink 97">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99" name="Ink 98">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0" name="Ink 99">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3</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1" name="Ink 100">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56"/>
            <a:stretch>
              <a:fillRect/>
            </a:stretch>
          </xdr:blipFill>
          <xdr:spPr>
            <a:xfrm>
              <a:off x="1758600" y="1567800"/>
              <a:ext cx="18000" cy="18000"/>
            </a:xfrm>
            <a:prstGeom prst="rect">
              <a:avLst/>
            </a:prstGeom>
          </xdr:spPr>
        </xdr:pic>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127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oneCellAnchor>
    <xdr:from>
      <xdr:col>3</xdr:col>
      <xdr:colOff>0</xdr:colOff>
      <xdr:row>127</xdr:row>
      <xdr:rowOff>0</xdr:rowOff>
    </xdr:from>
    <xdr:ext cx="3746"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 xmlns:a16="http://schemas.microsoft.com/office/drawing/2014/main" id="{228EAE91-BF2B-498E-8459-A2FEAE3535F9}"/>
                </a:ext>
              </a:extLst>
            </xdr14:cNvPr>
            <xdr14:cNvContentPartPr/>
          </xdr14:nvContentPartPr>
          <xdr14:nvPr macro=""/>
          <xdr14:xfrm>
            <a:off x="1767240" y="1576440"/>
            <a:ext cx="360" cy="360"/>
          </xdr14:xfrm>
        </xdr:contentPart>
      </mc:Choice>
      <mc:Fallback xmlns="">
        <xdr:pic>
          <xdr:nvPicPr>
            <xdr:cNvPr id="2" name="Ink 1">
              <a:extLst>
                <a:ext uri="{FF2B5EF4-FFF2-40B4-BE49-F238E27FC236}">
                  <a16:creationId xmlns:a16="http://schemas.microsoft.com/office/drawing/2014/main" id="{6C749F47-6ECF-4A9D-9E24-0D250E5A1DE6}"/>
                </a:ext>
              </a:extLst>
            </xdr:cNvPr>
            <xdr:cNvPicPr/>
          </xdr:nvPicPr>
          <xdr:blipFill>
            <a:blip xmlns:r="http://schemas.openxmlformats.org/officeDocument/2006/relationships" r:embed="rId2"/>
            <a:stretch>
              <a:fillRect/>
            </a:stretch>
          </xdr:blipFill>
          <xdr:spPr>
            <a:xfrm>
              <a:off x="1758600" y="1567800"/>
              <a:ext cx="18000" cy="180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57"/>
    </inkml:context>
    <inkml:brush xml:id="br0">
      <inkml:brushProperty name="width" value="0.05" units="cm"/>
      <inkml:brushProperty name="height" value="0.05" units="cm"/>
    </inkml:brush>
  </inkml:definitions>
  <inkml:trace contextRef="#ctx0" brushRef="#br0">0-2147483648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58"/>
    </inkml:context>
    <inkml:brush xml:id="br0">
      <inkml:brushProperty name="width" value="0.05" units="cm"/>
      <inkml:brushProperty name="height" value="0.05" units="cm"/>
    </inkml:brush>
  </inkml:definitions>
  <inkml:trace contextRef="#ctx0" brushRef="#br0">0-2147483648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59"/>
    </inkml:context>
    <inkml:brush xml:id="br0">
      <inkml:brushProperty name="width" value="0.05" units="cm"/>
      <inkml:brushProperty name="height" value="0.05" units="cm"/>
    </inkml:brush>
  </inkml:definitions>
  <inkml:trace contextRef="#ctx0" brushRef="#br0">0-2147483648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0"/>
    </inkml:context>
    <inkml:brush xml:id="br0">
      <inkml:brushProperty name="width" value="0.05" units="cm"/>
      <inkml:brushProperty name="height" value="0.05" units="cm"/>
    </inkml:brush>
  </inkml:definitions>
  <inkml:trace contextRef="#ctx0" brushRef="#br0">0-2147483648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1"/>
    </inkml:context>
    <inkml:brush xml:id="br0">
      <inkml:brushProperty name="width" value="0.05" units="cm"/>
      <inkml:brushProperty name="height" value="0.05" units="cm"/>
    </inkml:brush>
  </inkml:definitions>
  <inkml:trace contextRef="#ctx0" brushRef="#br0">0-2147483648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2"/>
    </inkml:context>
    <inkml:brush xml:id="br0">
      <inkml:brushProperty name="width" value="0.05" units="cm"/>
      <inkml:brushProperty name="height" value="0.05" units="cm"/>
    </inkml:brush>
  </inkml:definitions>
  <inkml:trace contextRef="#ctx0" brushRef="#br0">0-2147483648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3"/>
    </inkml:context>
    <inkml:brush xml:id="br0">
      <inkml:brushProperty name="width" value="0.05" units="cm"/>
      <inkml:brushProperty name="height" value="0.05" units="cm"/>
    </inkml:brush>
  </inkml:definitions>
  <inkml:trace contextRef="#ctx0" brushRef="#br0">0-2147483648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4"/>
    </inkml:context>
    <inkml:brush xml:id="br0">
      <inkml:brushProperty name="width" value="0.05" units="cm"/>
      <inkml:brushProperty name="height" value="0.05" units="cm"/>
    </inkml:brush>
  </inkml:definitions>
  <inkml:trace contextRef="#ctx0" brushRef="#br0">0-2147483648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5"/>
    </inkml:context>
    <inkml:brush xml:id="br0">
      <inkml:brushProperty name="width" value="0.05" units="cm"/>
      <inkml:brushProperty name="height" value="0.05" units="cm"/>
    </inkml:brush>
  </inkml:definitions>
  <inkml:trace contextRef="#ctx0" brushRef="#br0">0-2147483648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6"/>
    </inkml:context>
    <inkml:brush xml:id="br0">
      <inkml:brushProperty name="width" value="0.05" units="cm"/>
      <inkml:brushProperty name="height" value="0.05" units="cm"/>
    </inkml:brush>
  </inkml:definitions>
  <inkml:trace contextRef="#ctx0" brushRef="#br0">0-2147483648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7"/>
    </inkml:context>
    <inkml:brush xml:id="br0">
      <inkml:brushProperty name="width" value="0.05" units="cm"/>
      <inkml:brushProperty name="height" value="0.05" units="cm"/>
    </inkml:brush>
  </inkml:definitions>
  <inkml:trace contextRef="#ctx0" brushRef="#br0">0-2147483648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8"/>
    </inkml:context>
    <inkml:brush xml:id="br0">
      <inkml:brushProperty name="width" value="0.05" units="cm"/>
      <inkml:brushProperty name="height" value="0.05" units="cm"/>
    </inkml:brush>
  </inkml:definitions>
  <inkml:trace contextRef="#ctx0" brushRef="#br0">0-2147483648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69"/>
    </inkml:context>
    <inkml:brush xml:id="br0">
      <inkml:brushProperty name="width" value="0.05" units="cm"/>
      <inkml:brushProperty name="height" value="0.05" units="cm"/>
    </inkml:brush>
  </inkml:definitions>
  <inkml:trace contextRef="#ctx0" brushRef="#br0">0-2147483648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0"/>
    </inkml:context>
    <inkml:brush xml:id="br0">
      <inkml:brushProperty name="width" value="0.05" units="cm"/>
      <inkml:brushProperty name="height" value="0.05" units="cm"/>
    </inkml:brush>
  </inkml:definitions>
  <inkml:trace contextRef="#ctx0" brushRef="#br0">0-2147483648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1"/>
    </inkml:context>
    <inkml:brush xml:id="br0">
      <inkml:brushProperty name="width" value="0.05" units="cm"/>
      <inkml:brushProperty name="height" value="0.05" units="cm"/>
    </inkml:brush>
  </inkml:definitions>
  <inkml:trace contextRef="#ctx0" brushRef="#br0">0-2147483648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2"/>
    </inkml:context>
    <inkml:brush xml:id="br0">
      <inkml:brushProperty name="width" value="0.05" units="cm"/>
      <inkml:brushProperty name="height" value="0.05" units="cm"/>
    </inkml:brush>
  </inkml:definitions>
  <inkml:trace contextRef="#ctx0" brushRef="#br0">0-2147483648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3"/>
    </inkml:context>
    <inkml:brush xml:id="br0">
      <inkml:brushProperty name="width" value="0.05" units="cm"/>
      <inkml:brushProperty name="height" value="0.05" units="cm"/>
    </inkml:brush>
  </inkml:definitions>
  <inkml:trace contextRef="#ctx0" brushRef="#br0">0-2147483648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4"/>
    </inkml:context>
    <inkml:brush xml:id="br0">
      <inkml:brushProperty name="width" value="0.05" units="cm"/>
      <inkml:brushProperty name="height" value="0.05" units="cm"/>
    </inkml:brush>
  </inkml:definitions>
  <inkml:trace contextRef="#ctx0" brushRef="#br0">0-2147483648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5"/>
    </inkml:context>
    <inkml:brush xml:id="br0">
      <inkml:brushProperty name="width" value="0.05" units="cm"/>
      <inkml:brushProperty name="height" value="0.05" units="cm"/>
    </inkml:brush>
  </inkml:definitions>
  <inkml:trace contextRef="#ctx0" brushRef="#br0">0-2147483648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6"/>
    </inkml:context>
    <inkml:brush xml:id="br0">
      <inkml:brushProperty name="width" value="0.05" units="cm"/>
      <inkml:brushProperty name="height" value="0.05" units="cm"/>
    </inkml:brush>
  </inkml:definitions>
  <inkml:trace contextRef="#ctx0" brushRef="#br0">0-2147483648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7"/>
    </inkml:context>
    <inkml:brush xml:id="br0">
      <inkml:brushProperty name="width" value="0.05" units="cm"/>
      <inkml:brushProperty name="height" value="0.05" units="cm"/>
    </inkml:brush>
  </inkml:definitions>
  <inkml:trace contextRef="#ctx0" brushRef="#br0">0-2147483648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8"/>
    </inkml:context>
    <inkml:brush xml:id="br0">
      <inkml:brushProperty name="width" value="0.05" units="cm"/>
      <inkml:brushProperty name="height" value="0.05" units="cm"/>
    </inkml:brush>
  </inkml:definitions>
  <inkml:trace contextRef="#ctx0" brushRef="#br0">0-2147483648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79"/>
    </inkml:context>
    <inkml:brush xml:id="br0">
      <inkml:brushProperty name="width" value="0.05" units="cm"/>
      <inkml:brushProperty name="height" value="0.05" units="cm"/>
    </inkml:brush>
  </inkml:definitions>
  <inkml:trace contextRef="#ctx0" brushRef="#br0">0-2147483648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0"/>
    </inkml:context>
    <inkml:brush xml:id="br0">
      <inkml:brushProperty name="width" value="0.05" units="cm"/>
      <inkml:brushProperty name="height" value="0.05" units="cm"/>
    </inkml:brush>
  </inkml:definitions>
  <inkml:trace contextRef="#ctx0" brushRef="#br0">0-2147483648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1"/>
    </inkml:context>
    <inkml:brush xml:id="br0">
      <inkml:brushProperty name="width" value="0.05" units="cm"/>
      <inkml:brushProperty name="height" value="0.05" units="cm"/>
    </inkml:brush>
  </inkml:definitions>
  <inkml:trace contextRef="#ctx0" brushRef="#br0">0-2147483648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2"/>
    </inkml:context>
    <inkml:brush xml:id="br0">
      <inkml:brushProperty name="width" value="0.05" units="cm"/>
      <inkml:brushProperty name="height" value="0.05" units="cm"/>
    </inkml:brush>
  </inkml:definitions>
  <inkml:trace contextRef="#ctx0" brushRef="#br0">0-2147483648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3"/>
    </inkml:context>
    <inkml:brush xml:id="br0">
      <inkml:brushProperty name="width" value="0.05" units="cm"/>
      <inkml:brushProperty name="height" value="0.05" units="cm"/>
    </inkml:brush>
  </inkml:definitions>
  <inkml:trace contextRef="#ctx0" brushRef="#br0">0-2147483648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4"/>
    </inkml:context>
    <inkml:brush xml:id="br0">
      <inkml:brushProperty name="width" value="0.05" units="cm"/>
      <inkml:brushProperty name="height" value="0.05" units="cm"/>
    </inkml:brush>
  </inkml:definitions>
  <inkml:trace contextRef="#ctx0" brushRef="#br0">0-2147483648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5"/>
    </inkml:context>
    <inkml:brush xml:id="br0">
      <inkml:brushProperty name="width" value="0.05" units="cm"/>
      <inkml:brushProperty name="height" value="0.05" units="cm"/>
    </inkml:brush>
  </inkml:definitions>
  <inkml:trace contextRef="#ctx0" brushRef="#br0">0-2147483648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6"/>
    </inkml:context>
    <inkml:brush xml:id="br0">
      <inkml:brushProperty name="width" value="0.05" units="cm"/>
      <inkml:brushProperty name="height" value="0.05" units="cm"/>
    </inkml:brush>
  </inkml:definitions>
  <inkml:trace contextRef="#ctx0" brushRef="#br0">0-2147483648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7"/>
    </inkml:context>
    <inkml:brush xml:id="br0">
      <inkml:brushProperty name="width" value="0.05" units="cm"/>
      <inkml:brushProperty name="height" value="0.05" units="cm"/>
    </inkml:brush>
  </inkml:definitions>
  <inkml:trace contextRef="#ctx0" brushRef="#br0">0-2147483648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8"/>
    </inkml:context>
    <inkml:brush xml:id="br0">
      <inkml:brushProperty name="width" value="0.05" units="cm"/>
      <inkml:brushProperty name="height" value="0.05" units="cm"/>
    </inkml:brush>
  </inkml:definitions>
  <inkml:trace contextRef="#ctx0" brushRef="#br0">0-2147483648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89"/>
    </inkml:context>
    <inkml:brush xml:id="br0">
      <inkml:brushProperty name="width" value="0.05" units="cm"/>
      <inkml:brushProperty name="height" value="0.05" units="cm"/>
    </inkml:brush>
  </inkml:definitions>
  <inkml:trace contextRef="#ctx0" brushRef="#br0">0-2147483648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90"/>
    </inkml:context>
    <inkml:brush xml:id="br0">
      <inkml:brushProperty name="width" value="0.05" units="cm"/>
      <inkml:brushProperty name="height" value="0.05" units="cm"/>
    </inkml:brush>
  </inkml:definitions>
  <inkml:trace contextRef="#ctx0" brushRef="#br0">0-2147483648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91"/>
    </inkml:context>
    <inkml:brush xml:id="br0">
      <inkml:brushProperty name="width" value="0.05" units="cm"/>
      <inkml:brushProperty name="height" value="0.05" units="cm"/>
    </inkml:brush>
  </inkml:definitions>
  <inkml:trace contextRef="#ctx0" brushRef="#br0">0-2147483648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92"/>
    </inkml:context>
    <inkml:brush xml:id="br0">
      <inkml:brushProperty name="width" value="0.05" units="cm"/>
      <inkml:brushProperty name="height" value="0.05" units="cm"/>
    </inkml:brush>
  </inkml:definitions>
  <inkml:trace contextRef="#ctx0" brushRef="#br0">0-2147483648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93"/>
    </inkml:context>
    <inkml:brush xml:id="br0">
      <inkml:brushProperty name="width" value="0.05" units="cm"/>
      <inkml:brushProperty name="height" value="0.05" units="cm"/>
    </inkml:brush>
  </inkml:definitions>
  <inkml:trace contextRef="#ctx0" brushRef="#br0">0-2147483648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94"/>
    </inkml:context>
    <inkml:brush xml:id="br0">
      <inkml:brushProperty name="width" value="0.05" units="cm"/>
      <inkml:brushProperty name="height" value="0.05" units="cm"/>
    </inkml:brush>
  </inkml:definitions>
  <inkml:trace contextRef="#ctx0" brushRef="#br0">0-2147483648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95"/>
    </inkml:context>
    <inkml:brush xml:id="br0">
      <inkml:brushProperty name="width" value="0.05" units="cm"/>
      <inkml:brushProperty name="height" value="0.05" units="cm"/>
    </inkml:brush>
  </inkml:definitions>
  <inkml:trace contextRef="#ctx0" brushRef="#br0">0-2147483648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5:38.796"/>
    </inkml:context>
    <inkml:brush xml:id="br0">
      <inkml:brushProperty name="width" value="0.05" units="cm"/>
      <inkml:brushProperty name="height" value="0.05" units="cm"/>
    </inkml:brush>
  </inkml:definitions>
  <inkml:trace contextRef="#ctx0" brushRef="#br0">0-2147483648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07"/>
    </inkml:context>
    <inkml:brush xml:id="br0">
      <inkml:brushProperty name="width" value="0.05" units="cm"/>
      <inkml:brushProperty name="height" value="0.05" units="cm"/>
    </inkml:brush>
  </inkml:definitions>
  <inkml:trace contextRef="#ctx0" brushRef="#br0">0-2147483648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08"/>
    </inkml:context>
    <inkml:brush xml:id="br0">
      <inkml:brushProperty name="width" value="0.05" units="cm"/>
      <inkml:brushProperty name="height" value="0.05" units="cm"/>
    </inkml:brush>
  </inkml:definitions>
  <inkml:trace contextRef="#ctx0" brushRef="#br0">0-2147483648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09"/>
    </inkml:context>
    <inkml:brush xml:id="br0">
      <inkml:brushProperty name="width" value="0.05" units="cm"/>
      <inkml:brushProperty name="height" value="0.05" units="cm"/>
    </inkml:brush>
  </inkml:definitions>
  <inkml:trace contextRef="#ctx0" brushRef="#br0">0-2147483648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0"/>
    </inkml:context>
    <inkml:brush xml:id="br0">
      <inkml:brushProperty name="width" value="0.05" units="cm"/>
      <inkml:brushProperty name="height" value="0.05" units="cm"/>
    </inkml:brush>
  </inkml:definitions>
  <inkml:trace contextRef="#ctx0" brushRef="#br0">0-2147483648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1"/>
    </inkml:context>
    <inkml:brush xml:id="br0">
      <inkml:brushProperty name="width" value="0.05" units="cm"/>
      <inkml:brushProperty name="height" value="0.05" units="cm"/>
    </inkml:brush>
  </inkml:definitions>
  <inkml:trace contextRef="#ctx0" brushRef="#br0">0-2147483648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2"/>
    </inkml:context>
    <inkml:brush xml:id="br0">
      <inkml:brushProperty name="width" value="0.05" units="cm"/>
      <inkml:brushProperty name="height" value="0.05" units="cm"/>
    </inkml:brush>
  </inkml:definitions>
  <inkml:trace contextRef="#ctx0" brushRef="#br0">0-2147483648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3"/>
    </inkml:context>
    <inkml:brush xml:id="br0">
      <inkml:brushProperty name="width" value="0.05" units="cm"/>
      <inkml:brushProperty name="height" value="0.05" units="cm"/>
    </inkml:brush>
  </inkml:definitions>
  <inkml:trace contextRef="#ctx0" brushRef="#br0">0-2147483648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4"/>
    </inkml:context>
    <inkml:brush xml:id="br0">
      <inkml:brushProperty name="width" value="0.05" units="cm"/>
      <inkml:brushProperty name="height" value="0.05" units="cm"/>
    </inkml:brush>
  </inkml:definitions>
  <inkml:trace contextRef="#ctx0" brushRef="#br0">0-2147483648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5"/>
    </inkml:context>
    <inkml:brush xml:id="br0">
      <inkml:brushProperty name="width" value="0.05" units="cm"/>
      <inkml:brushProperty name="height" value="0.05" units="cm"/>
    </inkml:brush>
  </inkml:definitions>
  <inkml:trace contextRef="#ctx0" brushRef="#br0">0-2147483648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6"/>
    </inkml:context>
    <inkml:brush xml:id="br0">
      <inkml:brushProperty name="width" value="0.05" units="cm"/>
      <inkml:brushProperty name="height" value="0.05" units="cm"/>
    </inkml:brush>
  </inkml:definitions>
  <inkml:trace contextRef="#ctx0" brushRef="#br0">0-2147483648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7"/>
    </inkml:context>
    <inkml:brush xml:id="br0">
      <inkml:brushProperty name="width" value="0.05" units="cm"/>
      <inkml:brushProperty name="height" value="0.05" units="cm"/>
    </inkml:brush>
  </inkml:definitions>
  <inkml:trace contextRef="#ctx0" brushRef="#br0">0-2147483648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8"/>
    </inkml:context>
    <inkml:brush xml:id="br0">
      <inkml:brushProperty name="width" value="0.05" units="cm"/>
      <inkml:brushProperty name="height" value="0.05" units="cm"/>
    </inkml:brush>
  </inkml:definitions>
  <inkml:trace contextRef="#ctx0" brushRef="#br0">0-2147483648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19"/>
    </inkml:context>
    <inkml:brush xml:id="br0">
      <inkml:brushProperty name="width" value="0.05" units="cm"/>
      <inkml:brushProperty name="height" value="0.05" units="cm"/>
    </inkml:brush>
  </inkml:definitions>
  <inkml:trace contextRef="#ctx0" brushRef="#br0">0-2147483648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20"/>
    </inkml:context>
    <inkml:brush xml:id="br0">
      <inkml:brushProperty name="width" value="0.05" units="cm"/>
      <inkml:brushProperty name="height" value="0.05" units="cm"/>
    </inkml:brush>
  </inkml:definitions>
  <inkml:trace contextRef="#ctx0" brushRef="#br0">0-2147483648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21"/>
    </inkml:context>
    <inkml:brush xml:id="br0">
      <inkml:brushProperty name="width" value="0.05" units="cm"/>
      <inkml:brushProperty name="height" value="0.05" units="cm"/>
    </inkml:brush>
  </inkml:definitions>
  <inkml:trace contextRef="#ctx0" brushRef="#br0">0-2147483648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2:04.722"/>
    </inkml:context>
    <inkml:brush xml:id="br0">
      <inkml:brushProperty name="width" value="0.05" units="cm"/>
      <inkml:brushProperty name="height" value="0.05" units="cm"/>
    </inkml:brush>
  </inkml:definitions>
  <inkml:trace contextRef="#ctx0" brushRef="#br0">0-2147483648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83"/>
    </inkml:context>
    <inkml:brush xml:id="br0">
      <inkml:brushProperty name="width" value="0.05" units="cm"/>
      <inkml:brushProperty name="height" value="0.05" units="cm"/>
    </inkml:brush>
  </inkml:definitions>
  <inkml:trace contextRef="#ctx0" brushRef="#br0">0-2147483648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84"/>
    </inkml:context>
    <inkml:brush xml:id="br0">
      <inkml:brushProperty name="width" value="0.05" units="cm"/>
      <inkml:brushProperty name="height" value="0.05" units="cm"/>
    </inkml:brush>
  </inkml:definitions>
  <inkml:trace contextRef="#ctx0" brushRef="#br0">0-2147483648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85"/>
    </inkml:context>
    <inkml:brush xml:id="br0">
      <inkml:brushProperty name="width" value="0.05" units="cm"/>
      <inkml:brushProperty name="height" value="0.05" units="cm"/>
    </inkml:brush>
  </inkml:definitions>
  <inkml:trace contextRef="#ctx0" brushRef="#br0">0-2147483648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86"/>
    </inkml:context>
    <inkml:brush xml:id="br0">
      <inkml:brushProperty name="width" value="0.05" units="cm"/>
      <inkml:brushProperty name="height" value="0.05" units="cm"/>
    </inkml:brush>
  </inkml:definitions>
  <inkml:trace contextRef="#ctx0" brushRef="#br0">0-2147483648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87"/>
    </inkml:context>
    <inkml:brush xml:id="br0">
      <inkml:brushProperty name="width" value="0.05" units="cm"/>
      <inkml:brushProperty name="height" value="0.05" units="cm"/>
    </inkml:brush>
  </inkml:definitions>
  <inkml:trace contextRef="#ctx0" brushRef="#br0">0-2147483648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88"/>
    </inkml:context>
    <inkml:brush xml:id="br0">
      <inkml:brushProperty name="width" value="0.05" units="cm"/>
      <inkml:brushProperty name="height" value="0.05" units="cm"/>
    </inkml:brush>
  </inkml:definitions>
  <inkml:trace contextRef="#ctx0" brushRef="#br0">0-2147483648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89"/>
    </inkml:context>
    <inkml:brush xml:id="br0">
      <inkml:brushProperty name="width" value="0.05" units="cm"/>
      <inkml:brushProperty name="height" value="0.05" units="cm"/>
    </inkml:brush>
  </inkml:definitions>
  <inkml:trace contextRef="#ctx0" brushRef="#br0">0-2147483648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0"/>
    </inkml:context>
    <inkml:brush xml:id="br0">
      <inkml:brushProperty name="width" value="0.05" units="cm"/>
      <inkml:brushProperty name="height" value="0.05" units="cm"/>
    </inkml:brush>
  </inkml:definitions>
  <inkml:trace contextRef="#ctx0" brushRef="#br0">0-2147483648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1"/>
    </inkml:context>
    <inkml:brush xml:id="br0">
      <inkml:brushProperty name="width" value="0.05" units="cm"/>
      <inkml:brushProperty name="height" value="0.05" units="cm"/>
    </inkml:brush>
  </inkml:definitions>
  <inkml:trace contextRef="#ctx0" brushRef="#br0">0-2147483648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2"/>
    </inkml:context>
    <inkml:brush xml:id="br0">
      <inkml:brushProperty name="width" value="0.05" units="cm"/>
      <inkml:brushProperty name="height" value="0.05" units="cm"/>
    </inkml:brush>
  </inkml:definitions>
  <inkml:trace contextRef="#ctx0" brushRef="#br0">0-2147483648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3"/>
    </inkml:context>
    <inkml:brush xml:id="br0">
      <inkml:brushProperty name="width" value="0.05" units="cm"/>
      <inkml:brushProperty name="height" value="0.05" units="cm"/>
    </inkml:brush>
  </inkml:definitions>
  <inkml:trace contextRef="#ctx0" brushRef="#br0">0-2147483648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4"/>
    </inkml:context>
    <inkml:brush xml:id="br0">
      <inkml:brushProperty name="width" value="0.05" units="cm"/>
      <inkml:brushProperty name="height" value="0.05" units="cm"/>
    </inkml:brush>
  </inkml:definitions>
  <inkml:trace contextRef="#ctx0" brushRef="#br0">0-2147483648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5"/>
    </inkml:context>
    <inkml:brush xml:id="br0">
      <inkml:brushProperty name="width" value="0.05" units="cm"/>
      <inkml:brushProperty name="height" value="0.05" units="cm"/>
    </inkml:brush>
  </inkml:definitions>
  <inkml:trace contextRef="#ctx0" brushRef="#br0">0-2147483648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6"/>
    </inkml:context>
    <inkml:brush xml:id="br0">
      <inkml:brushProperty name="width" value="0.05" units="cm"/>
      <inkml:brushProperty name="height" value="0.05" units="cm"/>
    </inkml:brush>
  </inkml:definitions>
  <inkml:trace contextRef="#ctx0" brushRef="#br0">0-2147483648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7"/>
    </inkml:context>
    <inkml:brush xml:id="br0">
      <inkml:brushProperty name="width" value="0.05" units="cm"/>
      <inkml:brushProperty name="height" value="0.05" units="cm"/>
    </inkml:brush>
  </inkml:definitions>
  <inkml:trace contextRef="#ctx0" brushRef="#br0">0-2147483648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8"/>
    </inkml:context>
    <inkml:brush xml:id="br0">
      <inkml:brushProperty name="width" value="0.05" units="cm"/>
      <inkml:brushProperty name="height" value="0.05" units="cm"/>
    </inkml:brush>
  </inkml:definitions>
  <inkml:trace contextRef="#ctx0" brushRef="#br0">0-2147483648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599"/>
    </inkml:context>
    <inkml:brush xml:id="br0">
      <inkml:brushProperty name="width" value="0.05" units="cm"/>
      <inkml:brushProperty name="height" value="0.05" units="cm"/>
    </inkml:brush>
  </inkml:definitions>
  <inkml:trace contextRef="#ctx0" brushRef="#br0">0-2147483648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600"/>
    </inkml:context>
    <inkml:brush xml:id="br0">
      <inkml:brushProperty name="width" value="0.05" units="cm"/>
      <inkml:brushProperty name="height" value="0.05" units="cm"/>
    </inkml:brush>
  </inkml:definitions>
  <inkml:trace contextRef="#ctx0" brushRef="#br0">0-2147483648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601"/>
    </inkml:context>
    <inkml:brush xml:id="br0">
      <inkml:brushProperty name="width" value="0.05" units="cm"/>
      <inkml:brushProperty name="height" value="0.05" units="cm"/>
    </inkml:brush>
  </inkml:definitions>
  <inkml:trace contextRef="#ctx0" brushRef="#br0">0-2147483648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1:12.602"/>
    </inkml:context>
    <inkml:brush xml:id="br0">
      <inkml:brushProperty name="width" value="0.05" units="cm"/>
      <inkml:brushProperty name="height" value="0.05" units="cm"/>
    </inkml:brush>
  </inkml:definitions>
  <inkml:trace contextRef="#ctx0" brushRef="#br0">0-2147483648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3:36.034"/>
    </inkml:context>
    <inkml:brush xml:id="br0">
      <inkml:brushProperty name="width" value="0.05" units="cm"/>
      <inkml:brushProperty name="height" value="0.05" units="cm"/>
    </inkml:brush>
  </inkml:definitions>
  <inkml:trace contextRef="#ctx0" brushRef="#br0">0-2147483648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3:36.035"/>
    </inkml:context>
    <inkml:brush xml:id="br0">
      <inkml:brushProperty name="width" value="0.05" units="cm"/>
      <inkml:brushProperty name="height" value="0.05" units="cm"/>
    </inkml:brush>
  </inkml:definitions>
  <inkml:trace contextRef="#ctx0" brushRef="#br0">0-2147483648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3:36.036"/>
    </inkml:context>
    <inkml:brush xml:id="br0">
      <inkml:brushProperty name="width" value="0.05" units="cm"/>
      <inkml:brushProperty name="height" value="0.05" units="cm"/>
    </inkml:brush>
  </inkml:definitions>
  <inkml:trace contextRef="#ctx0" brushRef="#br0">0-2147483648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3:36.037"/>
    </inkml:context>
    <inkml:brush xml:id="br0">
      <inkml:brushProperty name="width" value="0.05" units="cm"/>
      <inkml:brushProperty name="height" value="0.05" units="cm"/>
    </inkml:brush>
  </inkml:definitions>
  <inkml:trace contextRef="#ctx0" brushRef="#br0">0-2147483648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3:36.038"/>
    </inkml:context>
    <inkml:brush xml:id="br0">
      <inkml:brushProperty name="width" value="0.05" units="cm"/>
      <inkml:brushProperty name="height" value="0.05" units="cm"/>
    </inkml:brush>
  </inkml:definitions>
  <inkml:trace contextRef="#ctx0" brushRef="#br0">0-2147483648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3:36.039"/>
    </inkml:context>
    <inkml:brush xml:id="br0">
      <inkml:brushProperty name="width" value="0.05" units="cm"/>
      <inkml:brushProperty name="height" value="0.05" units="cm"/>
    </inkml:brush>
  </inkml:definitions>
  <inkml:trace contextRef="#ctx0" brushRef="#br0">0-2147483648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3:36.040"/>
    </inkml:context>
    <inkml:brush xml:id="br0">
      <inkml:brushProperty name="width" value="0.05" units="cm"/>
      <inkml:brushProperty name="height" value="0.05" units="cm"/>
    </inkml:brush>
  </inkml:definitions>
  <inkml:trace contextRef="#ctx0" brushRef="#br0">0-2147483648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3:36.041"/>
    </inkml:context>
    <inkml:brush xml:id="br0">
      <inkml:brushProperty name="width" value="0.05" units="cm"/>
      <inkml:brushProperty name="height" value="0.05" units="cm"/>
    </inkml:brush>
  </inkml:definitions>
  <inkml:trace contextRef="#ctx0" brushRef="#br0">0-2147483648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49"/>
    </inkml:context>
    <inkml:brush xml:id="br0">
      <inkml:brushProperty name="width" value="0.05" units="cm"/>
      <inkml:brushProperty name="height" value="0.05" units="cm"/>
    </inkml:brush>
  </inkml:definitions>
  <inkml:trace contextRef="#ctx0" brushRef="#br0">0-2147483648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0"/>
    </inkml:context>
    <inkml:brush xml:id="br0">
      <inkml:brushProperty name="width" value="0.05" units="cm"/>
      <inkml:brushProperty name="height" value="0.05" units="cm"/>
    </inkml:brush>
  </inkml:definitions>
  <inkml:trace contextRef="#ctx0" brushRef="#br0">0-2147483648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1"/>
    </inkml:context>
    <inkml:brush xml:id="br0">
      <inkml:brushProperty name="width" value="0.05" units="cm"/>
      <inkml:brushProperty name="height" value="0.05" units="cm"/>
    </inkml:brush>
  </inkml:definitions>
  <inkml:trace contextRef="#ctx0" brushRef="#br0">0-2147483648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2"/>
    </inkml:context>
    <inkml:brush xml:id="br0">
      <inkml:brushProperty name="width" value="0.05" units="cm"/>
      <inkml:brushProperty name="height" value="0.05" units="cm"/>
    </inkml:brush>
  </inkml:definitions>
  <inkml:trace contextRef="#ctx0" brushRef="#br0">0-2147483648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3"/>
    </inkml:context>
    <inkml:brush xml:id="br0">
      <inkml:brushProperty name="width" value="0.05" units="cm"/>
      <inkml:brushProperty name="height" value="0.05" units="cm"/>
    </inkml:brush>
  </inkml:definitions>
  <inkml:trace contextRef="#ctx0" brushRef="#br0">0-2147483648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4"/>
    </inkml:context>
    <inkml:brush xml:id="br0">
      <inkml:brushProperty name="width" value="0.05" units="cm"/>
      <inkml:brushProperty name="height" value="0.05" units="cm"/>
    </inkml:brush>
  </inkml:definitions>
  <inkml:trace contextRef="#ctx0" brushRef="#br0">0-2147483648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5"/>
    </inkml:context>
    <inkml:brush xml:id="br0">
      <inkml:brushProperty name="width" value="0.05" units="cm"/>
      <inkml:brushProperty name="height" value="0.05" units="cm"/>
    </inkml:brush>
  </inkml:definitions>
  <inkml:trace contextRef="#ctx0" brushRef="#br0">0-2147483648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6"/>
    </inkml:context>
    <inkml:brush xml:id="br0">
      <inkml:brushProperty name="width" value="0.05" units="cm"/>
      <inkml:brushProperty name="height" value="0.05" units="cm"/>
    </inkml:brush>
  </inkml:definitions>
  <inkml:trace contextRef="#ctx0" brushRef="#br0">0-2147483648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7"/>
    </inkml:context>
    <inkml:brush xml:id="br0">
      <inkml:brushProperty name="width" value="0.05" units="cm"/>
      <inkml:brushProperty name="height" value="0.05" units="cm"/>
    </inkml:brush>
  </inkml:definitions>
  <inkml:trace contextRef="#ctx0" brushRef="#br0">0-2147483648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8"/>
    </inkml:context>
    <inkml:brush xml:id="br0">
      <inkml:brushProperty name="width" value="0.05" units="cm"/>
      <inkml:brushProperty name="height" value="0.05" units="cm"/>
    </inkml:brush>
  </inkml:definitions>
  <inkml:trace contextRef="#ctx0" brushRef="#br0">0-2147483648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59"/>
    </inkml:context>
    <inkml:brush xml:id="br0">
      <inkml:brushProperty name="width" value="0.05" units="cm"/>
      <inkml:brushProperty name="height" value="0.05" units="cm"/>
    </inkml:brush>
  </inkml:definitions>
  <inkml:trace contextRef="#ctx0" brushRef="#br0">0-2147483648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60"/>
    </inkml:context>
    <inkml:brush xml:id="br0">
      <inkml:brushProperty name="width" value="0.05" units="cm"/>
      <inkml:brushProperty name="height" value="0.05" units="cm"/>
    </inkml:brush>
  </inkml:definitions>
  <inkml:trace contextRef="#ctx0" brushRef="#br0">0-2147483648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61"/>
    </inkml:context>
    <inkml:brush xml:id="br0">
      <inkml:brushProperty name="width" value="0.05" units="cm"/>
      <inkml:brushProperty name="height" value="0.05" units="cm"/>
    </inkml:brush>
  </inkml:definitions>
  <inkml:trace contextRef="#ctx0" brushRef="#br0">0-2147483648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62"/>
    </inkml:context>
    <inkml:brush xml:id="br0">
      <inkml:brushProperty name="width" value="0.05" units="cm"/>
      <inkml:brushProperty name="height" value="0.05" units="cm"/>
    </inkml:brush>
  </inkml:definitions>
  <inkml:trace contextRef="#ctx0" brushRef="#br0">0-2147483648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63"/>
    </inkml:context>
    <inkml:brush xml:id="br0">
      <inkml:brushProperty name="width" value="0.05" units="cm"/>
      <inkml:brushProperty name="height" value="0.05" units="cm"/>
    </inkml:brush>
  </inkml:definitions>
  <inkml:trace contextRef="#ctx0" brushRef="#br0">0-2147483648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9:31.764"/>
    </inkml:context>
    <inkml:brush xml:id="br0">
      <inkml:brushProperty name="width" value="0.05" units="cm"/>
      <inkml:brushProperty name="height" value="0.05" units="cm"/>
    </inkml:brush>
  </inkml:definitions>
  <inkml:trace contextRef="#ctx0" brushRef="#br0">0-2147483648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34"/>
    </inkml:context>
    <inkml:brush xml:id="br0">
      <inkml:brushProperty name="width" value="0.05" units="cm"/>
      <inkml:brushProperty name="height" value="0.05" units="cm"/>
    </inkml:brush>
  </inkml:definitions>
  <inkml:trace contextRef="#ctx0" brushRef="#br0">-2147483648-2147483648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35"/>
    </inkml:context>
    <inkml:brush xml:id="br0">
      <inkml:brushProperty name="width" value="0.05" units="cm"/>
      <inkml:brushProperty name="height" value="0.05" units="cm"/>
    </inkml:brush>
  </inkml:definitions>
  <inkml:trace contextRef="#ctx0" brushRef="#br0">-2147483648-2147483648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36"/>
    </inkml:context>
    <inkml:brush xml:id="br0">
      <inkml:brushProperty name="width" value="0.05" units="cm"/>
      <inkml:brushProperty name="height" value="0.05" units="cm"/>
    </inkml:brush>
  </inkml:definitions>
  <inkml:trace contextRef="#ctx0" brushRef="#br0">-2147483648-2147483648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37"/>
    </inkml:context>
    <inkml:brush xml:id="br0">
      <inkml:brushProperty name="width" value="0.05" units="cm"/>
      <inkml:brushProperty name="height" value="0.05" units="cm"/>
    </inkml:brush>
  </inkml:definitions>
  <inkml:trace contextRef="#ctx0" brushRef="#br0">-2147483648-2147483648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38"/>
    </inkml:context>
    <inkml:brush xml:id="br0">
      <inkml:brushProperty name="width" value="0.05" units="cm"/>
      <inkml:brushProperty name="height" value="0.05" units="cm"/>
    </inkml:brush>
  </inkml:definitions>
  <inkml:trace contextRef="#ctx0" brushRef="#br0">-2147483648-2147483648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39"/>
    </inkml:context>
    <inkml:brush xml:id="br0">
      <inkml:brushProperty name="width" value="0.05" units="cm"/>
      <inkml:brushProperty name="height" value="0.05" units="cm"/>
    </inkml:brush>
  </inkml:definitions>
  <inkml:trace contextRef="#ctx0" brushRef="#br0">-2147483648-2147483648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0"/>
    </inkml:context>
    <inkml:brush xml:id="br0">
      <inkml:brushProperty name="width" value="0.05" units="cm"/>
      <inkml:brushProperty name="height" value="0.05" units="cm"/>
    </inkml:brush>
  </inkml:definitions>
  <inkml:trace contextRef="#ctx0" brushRef="#br0">-2147483648-2147483648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1"/>
    </inkml:context>
    <inkml:brush xml:id="br0">
      <inkml:brushProperty name="width" value="0.05" units="cm"/>
      <inkml:brushProperty name="height" value="0.05" units="cm"/>
    </inkml:brush>
  </inkml:definitions>
  <inkml:trace contextRef="#ctx0" brushRef="#br0">-2147483648-2147483648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2"/>
    </inkml:context>
    <inkml:brush xml:id="br0">
      <inkml:brushProperty name="width" value="0.05" units="cm"/>
      <inkml:brushProperty name="height" value="0.05" units="cm"/>
    </inkml:brush>
  </inkml:definitions>
  <inkml:trace contextRef="#ctx0" brushRef="#br0">-2147483648-2147483648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3"/>
    </inkml:context>
    <inkml:brush xml:id="br0">
      <inkml:brushProperty name="width" value="0.05" units="cm"/>
      <inkml:brushProperty name="height" value="0.05" units="cm"/>
    </inkml:brush>
  </inkml:definitions>
  <inkml:trace contextRef="#ctx0" brushRef="#br0">-2147483648-2147483648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4"/>
    </inkml:context>
    <inkml:brush xml:id="br0">
      <inkml:brushProperty name="width" value="0.05" units="cm"/>
      <inkml:brushProperty name="height" value="0.05" units="cm"/>
    </inkml:brush>
  </inkml:definitions>
  <inkml:trace contextRef="#ctx0" brushRef="#br0">-2147483648-2147483648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5"/>
    </inkml:context>
    <inkml:brush xml:id="br0">
      <inkml:brushProperty name="width" value="0.05" units="cm"/>
      <inkml:brushProperty name="height" value="0.05" units="cm"/>
    </inkml:brush>
  </inkml:definitions>
  <inkml:trace contextRef="#ctx0" brushRef="#br0">-2147483648-2147483648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6"/>
    </inkml:context>
    <inkml:brush xml:id="br0">
      <inkml:brushProperty name="width" value="0.05" units="cm"/>
      <inkml:brushProperty name="height" value="0.05" units="cm"/>
    </inkml:brush>
  </inkml:definitions>
  <inkml:trace contextRef="#ctx0" brushRef="#br0">-2147483648-2147483648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7"/>
    </inkml:context>
    <inkml:brush xml:id="br0">
      <inkml:brushProperty name="width" value="0.05" units="cm"/>
      <inkml:brushProperty name="height" value="0.05" units="cm"/>
    </inkml:brush>
  </inkml:definitions>
  <inkml:trace contextRef="#ctx0" brushRef="#br0">-2147483648-2147483648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8"/>
    </inkml:context>
    <inkml:brush xml:id="br0">
      <inkml:brushProperty name="width" value="0.05" units="cm"/>
      <inkml:brushProperty name="height" value="0.05" units="cm"/>
    </inkml:brush>
  </inkml:definitions>
  <inkml:trace contextRef="#ctx0" brushRef="#br0">-2147483648-2147483648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49"/>
    </inkml:context>
    <inkml:brush xml:id="br0">
      <inkml:brushProperty name="width" value="0.05" units="cm"/>
      <inkml:brushProperty name="height" value="0.05" units="cm"/>
    </inkml:brush>
  </inkml:definitions>
  <inkml:trace contextRef="#ctx0" brushRef="#br0">-2147483648-2147483648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0"/>
    </inkml:context>
    <inkml:brush xml:id="br0">
      <inkml:brushProperty name="width" value="0.05" units="cm"/>
      <inkml:brushProperty name="height" value="0.05" units="cm"/>
    </inkml:brush>
  </inkml:definitions>
  <inkml:trace contextRef="#ctx0" brushRef="#br0">-2147483648-2147483648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1"/>
    </inkml:context>
    <inkml:brush xml:id="br0">
      <inkml:brushProperty name="width" value="0.05" units="cm"/>
      <inkml:brushProperty name="height" value="0.05" units="cm"/>
    </inkml:brush>
  </inkml:definitions>
  <inkml:trace contextRef="#ctx0" brushRef="#br0">-2147483648-2147483648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2"/>
    </inkml:context>
    <inkml:brush xml:id="br0">
      <inkml:brushProperty name="width" value="0.05" units="cm"/>
      <inkml:brushProperty name="height" value="0.05" units="cm"/>
    </inkml:brush>
  </inkml:definitions>
  <inkml:trace contextRef="#ctx0" brushRef="#br0">-2147483648-2147483648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3"/>
    </inkml:context>
    <inkml:brush xml:id="br0">
      <inkml:brushProperty name="width" value="0.05" units="cm"/>
      <inkml:brushProperty name="height" value="0.05" units="cm"/>
    </inkml:brush>
  </inkml:definitions>
  <inkml:trace contextRef="#ctx0" brushRef="#br0">-2147483648-2147483648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4"/>
    </inkml:context>
    <inkml:brush xml:id="br0">
      <inkml:brushProperty name="width" value="0.05" units="cm"/>
      <inkml:brushProperty name="height" value="0.05" units="cm"/>
    </inkml:brush>
  </inkml:definitions>
  <inkml:trace contextRef="#ctx0" brushRef="#br0">-2147483648-2147483648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5"/>
    </inkml:context>
    <inkml:brush xml:id="br0">
      <inkml:brushProperty name="width" value="0.05" units="cm"/>
      <inkml:brushProperty name="height" value="0.05" units="cm"/>
    </inkml:brush>
  </inkml:definitions>
  <inkml:trace contextRef="#ctx0" brushRef="#br0">-2147483648-2147483648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6"/>
    </inkml:context>
    <inkml:brush xml:id="br0">
      <inkml:brushProperty name="width" value="0.05" units="cm"/>
      <inkml:brushProperty name="height" value="0.05" units="cm"/>
    </inkml:brush>
  </inkml:definitions>
  <inkml:trace contextRef="#ctx0" brushRef="#br0">-2147483648-2147483648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7"/>
    </inkml:context>
    <inkml:brush xml:id="br0">
      <inkml:brushProperty name="width" value="0.05" units="cm"/>
      <inkml:brushProperty name="height" value="0.05" units="cm"/>
    </inkml:brush>
  </inkml:definitions>
  <inkml:trace contextRef="#ctx0" brushRef="#br0">-2147483648-2147483648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8"/>
    </inkml:context>
    <inkml:brush xml:id="br0">
      <inkml:brushProperty name="width" value="0.05" units="cm"/>
      <inkml:brushProperty name="height" value="0.05" units="cm"/>
    </inkml:brush>
  </inkml:definitions>
  <inkml:trace contextRef="#ctx0" brushRef="#br0">-2147483648-2147483648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59"/>
    </inkml:context>
    <inkml:brush xml:id="br0">
      <inkml:brushProperty name="width" value="0.05" units="cm"/>
      <inkml:brushProperty name="height" value="0.05" units="cm"/>
    </inkml:brush>
  </inkml:definitions>
  <inkml:trace contextRef="#ctx0" brushRef="#br0">-2147483648-2147483648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60"/>
    </inkml:context>
    <inkml:brush xml:id="br0">
      <inkml:brushProperty name="width" value="0.05" units="cm"/>
      <inkml:brushProperty name="height" value="0.05" units="cm"/>
    </inkml:brush>
  </inkml:definitions>
  <inkml:trace contextRef="#ctx0" brushRef="#br0">-2147483648-2147483648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61"/>
    </inkml:context>
    <inkml:brush xml:id="br0">
      <inkml:brushProperty name="width" value="0.05" units="cm"/>
      <inkml:brushProperty name="height" value="0.05" units="cm"/>
    </inkml:brush>
  </inkml:definitions>
  <inkml:trace contextRef="#ctx0" brushRef="#br0">-2147483648-2147483648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62"/>
    </inkml:context>
    <inkml:brush xml:id="br0">
      <inkml:brushProperty name="width" value="0.05" units="cm"/>
      <inkml:brushProperty name="height" value="0.05" units="cm"/>
    </inkml:brush>
  </inkml:definitions>
  <inkml:trace contextRef="#ctx0" brushRef="#br0">-2147483648-2147483648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63"/>
    </inkml:context>
    <inkml:brush xml:id="br0">
      <inkml:brushProperty name="width" value="0.05" units="cm"/>
      <inkml:brushProperty name="height" value="0.05" units="cm"/>
    </inkml:brush>
  </inkml:definitions>
  <inkml:trace contextRef="#ctx0" brushRef="#br0">-2147483648-2147483648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64"/>
    </inkml:context>
    <inkml:brush xml:id="br0">
      <inkml:brushProperty name="width" value="0.05" units="cm"/>
      <inkml:brushProperty name="height" value="0.05" units="cm"/>
    </inkml:brush>
  </inkml:definitions>
  <inkml:trace contextRef="#ctx0" brushRef="#br0">-2147483648-2147483648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3:15.165"/>
    </inkml:context>
    <inkml:brush xml:id="br0">
      <inkml:brushProperty name="width" value="0.05" units="cm"/>
      <inkml:brushProperty name="height" value="0.05" units="cm"/>
    </inkml:brush>
  </inkml:definitions>
  <inkml:trace contextRef="#ctx0" brushRef="#br0">-2147483648-2147483648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06"/>
    </inkml:context>
    <inkml:brush xml:id="br0">
      <inkml:brushProperty name="width" value="0.05" units="cm"/>
      <inkml:brushProperty name="height" value="0.05" units="cm"/>
    </inkml:brush>
  </inkml:definitions>
  <inkml:trace contextRef="#ctx0" brushRef="#br0">0-2147483648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07"/>
    </inkml:context>
    <inkml:brush xml:id="br0">
      <inkml:brushProperty name="width" value="0.05" units="cm"/>
      <inkml:brushProperty name="height" value="0.05" units="cm"/>
    </inkml:brush>
  </inkml:definitions>
  <inkml:trace contextRef="#ctx0" brushRef="#br0">0-2147483648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08"/>
    </inkml:context>
    <inkml:brush xml:id="br0">
      <inkml:brushProperty name="width" value="0.05" units="cm"/>
      <inkml:brushProperty name="height" value="0.05" units="cm"/>
    </inkml:brush>
  </inkml:definitions>
  <inkml:trace contextRef="#ctx0" brushRef="#br0">0-2147483648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09"/>
    </inkml:context>
    <inkml:brush xml:id="br0">
      <inkml:brushProperty name="width" value="0.05" units="cm"/>
      <inkml:brushProperty name="height" value="0.05" units="cm"/>
    </inkml:brush>
  </inkml:definitions>
  <inkml:trace contextRef="#ctx0" brushRef="#br0">0-2147483648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0"/>
    </inkml:context>
    <inkml:brush xml:id="br0">
      <inkml:brushProperty name="width" value="0.05" units="cm"/>
      <inkml:brushProperty name="height" value="0.05" units="cm"/>
    </inkml:brush>
  </inkml:definitions>
  <inkml:trace contextRef="#ctx0" brushRef="#br0">0-2147483648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1"/>
    </inkml:context>
    <inkml:brush xml:id="br0">
      <inkml:brushProperty name="width" value="0.05" units="cm"/>
      <inkml:brushProperty name="height" value="0.05" units="cm"/>
    </inkml:brush>
  </inkml:definitions>
  <inkml:trace contextRef="#ctx0" brushRef="#br0">0-2147483648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2"/>
    </inkml:context>
    <inkml:brush xml:id="br0">
      <inkml:brushProperty name="width" value="0.05" units="cm"/>
      <inkml:brushProperty name="height" value="0.05" units="cm"/>
    </inkml:brush>
  </inkml:definitions>
  <inkml:trace contextRef="#ctx0" brushRef="#br0">0-2147483648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3"/>
    </inkml:context>
    <inkml:brush xml:id="br0">
      <inkml:brushProperty name="width" value="0.05" units="cm"/>
      <inkml:brushProperty name="height" value="0.05" units="cm"/>
    </inkml:brush>
  </inkml:definitions>
  <inkml:trace contextRef="#ctx0" brushRef="#br0">0-2147483648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4"/>
    </inkml:context>
    <inkml:brush xml:id="br0">
      <inkml:brushProperty name="width" value="0.05" units="cm"/>
      <inkml:brushProperty name="height" value="0.05" units="cm"/>
    </inkml:brush>
  </inkml:definitions>
  <inkml:trace contextRef="#ctx0" brushRef="#br0">0-2147483648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5"/>
    </inkml:context>
    <inkml:brush xml:id="br0">
      <inkml:brushProperty name="width" value="0.05" units="cm"/>
      <inkml:brushProperty name="height" value="0.05" units="cm"/>
    </inkml:brush>
  </inkml:definitions>
  <inkml:trace contextRef="#ctx0" brushRef="#br0">0-2147483648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6"/>
    </inkml:context>
    <inkml:brush xml:id="br0">
      <inkml:brushProperty name="width" value="0.05" units="cm"/>
      <inkml:brushProperty name="height" value="0.05" units="cm"/>
    </inkml:brush>
  </inkml:definitions>
  <inkml:trace contextRef="#ctx0" brushRef="#br0">0-2147483648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7"/>
    </inkml:context>
    <inkml:brush xml:id="br0">
      <inkml:brushProperty name="width" value="0.05" units="cm"/>
      <inkml:brushProperty name="height" value="0.05" units="cm"/>
    </inkml:brush>
  </inkml:definitions>
  <inkml:trace contextRef="#ctx0" brushRef="#br0">0-2147483648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8"/>
    </inkml:context>
    <inkml:brush xml:id="br0">
      <inkml:brushProperty name="width" value="0.05" units="cm"/>
      <inkml:brushProperty name="height" value="0.05" units="cm"/>
    </inkml:brush>
  </inkml:definitions>
  <inkml:trace contextRef="#ctx0" brushRef="#br0">0-2147483648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19"/>
    </inkml:context>
    <inkml:brush xml:id="br0">
      <inkml:brushProperty name="width" value="0.05" units="cm"/>
      <inkml:brushProperty name="height" value="0.05" units="cm"/>
    </inkml:brush>
  </inkml:definitions>
  <inkml:trace contextRef="#ctx0" brushRef="#br0">0-2147483648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0"/>
    </inkml:context>
    <inkml:brush xml:id="br0">
      <inkml:brushProperty name="width" value="0.05" units="cm"/>
      <inkml:brushProperty name="height" value="0.05" units="cm"/>
    </inkml:brush>
  </inkml:definitions>
  <inkml:trace contextRef="#ctx0" brushRef="#br0">0-2147483648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1"/>
    </inkml:context>
    <inkml:brush xml:id="br0">
      <inkml:brushProperty name="width" value="0.05" units="cm"/>
      <inkml:brushProperty name="height" value="0.05" units="cm"/>
    </inkml:brush>
  </inkml:definitions>
  <inkml:trace contextRef="#ctx0" brushRef="#br0">0-2147483648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2"/>
    </inkml:context>
    <inkml:brush xml:id="br0">
      <inkml:brushProperty name="width" value="0.05" units="cm"/>
      <inkml:brushProperty name="height" value="0.05" units="cm"/>
    </inkml:brush>
  </inkml:definitions>
  <inkml:trace contextRef="#ctx0" brushRef="#br0">0-2147483648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3"/>
    </inkml:context>
    <inkml:brush xml:id="br0">
      <inkml:brushProperty name="width" value="0.05" units="cm"/>
      <inkml:brushProperty name="height" value="0.05" units="cm"/>
    </inkml:brush>
  </inkml:definitions>
  <inkml:trace contextRef="#ctx0" brushRef="#br0">0-2147483648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4"/>
    </inkml:context>
    <inkml:brush xml:id="br0">
      <inkml:brushProperty name="width" value="0.05" units="cm"/>
      <inkml:brushProperty name="height" value="0.05" units="cm"/>
    </inkml:brush>
  </inkml:definitions>
  <inkml:trace contextRef="#ctx0" brushRef="#br0">0-2147483648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5"/>
    </inkml:context>
    <inkml:brush xml:id="br0">
      <inkml:brushProperty name="width" value="0.05" units="cm"/>
      <inkml:brushProperty name="height" value="0.05" units="cm"/>
    </inkml:brush>
  </inkml:definitions>
  <inkml:trace contextRef="#ctx0" brushRef="#br0">0-2147483648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6"/>
    </inkml:context>
    <inkml:brush xml:id="br0">
      <inkml:brushProperty name="width" value="0.05" units="cm"/>
      <inkml:brushProperty name="height" value="0.05" units="cm"/>
    </inkml:brush>
  </inkml:definitions>
  <inkml:trace contextRef="#ctx0" brushRef="#br0">0-2147483648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7"/>
    </inkml:context>
    <inkml:brush xml:id="br0">
      <inkml:brushProperty name="width" value="0.05" units="cm"/>
      <inkml:brushProperty name="height" value="0.05" units="cm"/>
    </inkml:brush>
  </inkml:definitions>
  <inkml:trace contextRef="#ctx0" brushRef="#br0">0-2147483648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8"/>
    </inkml:context>
    <inkml:brush xml:id="br0">
      <inkml:brushProperty name="width" value="0.05" units="cm"/>
      <inkml:brushProperty name="height" value="0.05" units="cm"/>
    </inkml:brush>
  </inkml:definitions>
  <inkml:trace contextRef="#ctx0" brushRef="#br0">0-2147483648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29"/>
    </inkml:context>
    <inkml:brush xml:id="br0">
      <inkml:brushProperty name="width" value="0.05" units="cm"/>
      <inkml:brushProperty name="height" value="0.05" units="cm"/>
    </inkml:brush>
  </inkml:definitions>
  <inkml:trace contextRef="#ctx0" brushRef="#br0">0-2147483648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0"/>
    </inkml:context>
    <inkml:brush xml:id="br0">
      <inkml:brushProperty name="width" value="0.05" units="cm"/>
      <inkml:brushProperty name="height" value="0.05" units="cm"/>
    </inkml:brush>
  </inkml:definitions>
  <inkml:trace contextRef="#ctx0" brushRef="#br0">0-2147483648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1"/>
    </inkml:context>
    <inkml:brush xml:id="br0">
      <inkml:brushProperty name="width" value="0.05" units="cm"/>
      <inkml:brushProperty name="height" value="0.05" units="cm"/>
    </inkml:brush>
  </inkml:definitions>
  <inkml:trace contextRef="#ctx0" brushRef="#br0">0-2147483648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2"/>
    </inkml:context>
    <inkml:brush xml:id="br0">
      <inkml:brushProperty name="width" value="0.05" units="cm"/>
      <inkml:brushProperty name="height" value="0.05" units="cm"/>
    </inkml:brush>
  </inkml:definitions>
  <inkml:trace contextRef="#ctx0" brushRef="#br0">0-2147483648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3"/>
    </inkml:context>
    <inkml:brush xml:id="br0">
      <inkml:brushProperty name="width" value="0.05" units="cm"/>
      <inkml:brushProperty name="height" value="0.05" units="cm"/>
    </inkml:brush>
  </inkml:definitions>
  <inkml:trace contextRef="#ctx0" brushRef="#br0">0-2147483648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4"/>
    </inkml:context>
    <inkml:brush xml:id="br0">
      <inkml:brushProperty name="width" value="0.05" units="cm"/>
      <inkml:brushProperty name="height" value="0.05" units="cm"/>
    </inkml:brush>
  </inkml:definitions>
  <inkml:trace contextRef="#ctx0" brushRef="#br0">0-2147483648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5"/>
    </inkml:context>
    <inkml:brush xml:id="br0">
      <inkml:brushProperty name="width" value="0.05" units="cm"/>
      <inkml:brushProperty name="height" value="0.05" units="cm"/>
    </inkml:brush>
  </inkml:definitions>
  <inkml:trace contextRef="#ctx0" brushRef="#br0">0-2147483648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6"/>
    </inkml:context>
    <inkml:brush xml:id="br0">
      <inkml:brushProperty name="width" value="0.05" units="cm"/>
      <inkml:brushProperty name="height" value="0.05" units="cm"/>
    </inkml:brush>
  </inkml:definitions>
  <inkml:trace contextRef="#ctx0" brushRef="#br0">0-2147483648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7"/>
    </inkml:context>
    <inkml:brush xml:id="br0">
      <inkml:brushProperty name="width" value="0.05" units="cm"/>
      <inkml:brushProperty name="height" value="0.05" units="cm"/>
    </inkml:brush>
  </inkml:definitions>
  <inkml:trace contextRef="#ctx0" brushRef="#br0">0-2147483648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8"/>
    </inkml:context>
    <inkml:brush xml:id="br0">
      <inkml:brushProperty name="width" value="0.05" units="cm"/>
      <inkml:brushProperty name="height" value="0.05" units="cm"/>
    </inkml:brush>
  </inkml:definitions>
  <inkml:trace contextRef="#ctx0" brushRef="#br0">0-2147483648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39"/>
    </inkml:context>
    <inkml:brush xml:id="br0">
      <inkml:brushProperty name="width" value="0.05" units="cm"/>
      <inkml:brushProperty name="height" value="0.05" units="cm"/>
    </inkml:brush>
  </inkml:definitions>
  <inkml:trace contextRef="#ctx0" brushRef="#br0">0-2147483648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40"/>
    </inkml:context>
    <inkml:brush xml:id="br0">
      <inkml:brushProperty name="width" value="0.05" units="cm"/>
      <inkml:brushProperty name="height" value="0.05" units="cm"/>
    </inkml:brush>
  </inkml:definitions>
  <inkml:trace contextRef="#ctx0" brushRef="#br0">0-2147483648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7:26.741"/>
    </inkml:context>
    <inkml:brush xml:id="br0">
      <inkml:brushProperty name="width" value="0.05" units="cm"/>
      <inkml:brushProperty name="height" value="0.05" units="cm"/>
    </inkml:brush>
  </inkml:definitions>
  <inkml:trace contextRef="#ctx0" brushRef="#br0">0-2147483648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0"/>
    </inkml:context>
    <inkml:brush xml:id="br0">
      <inkml:brushProperty name="width" value="0.05" units="cm"/>
      <inkml:brushProperty name="height" value="0.05" units="cm"/>
    </inkml:brush>
  </inkml:definitions>
  <inkml:trace contextRef="#ctx0" brushRef="#br0">0-2147483648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1"/>
    </inkml:context>
    <inkml:brush xml:id="br0">
      <inkml:brushProperty name="width" value="0.05" units="cm"/>
      <inkml:brushProperty name="height" value="0.05" units="cm"/>
    </inkml:brush>
  </inkml:definitions>
  <inkml:trace contextRef="#ctx0" brushRef="#br0">0-2147483648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2"/>
    </inkml:context>
    <inkml:brush xml:id="br0">
      <inkml:brushProperty name="width" value="0.05" units="cm"/>
      <inkml:brushProperty name="height" value="0.05" units="cm"/>
    </inkml:brush>
  </inkml:definitions>
  <inkml:trace contextRef="#ctx0" brushRef="#br0">0-2147483648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3"/>
    </inkml:context>
    <inkml:brush xml:id="br0">
      <inkml:brushProperty name="width" value="0.05" units="cm"/>
      <inkml:brushProperty name="height" value="0.05" units="cm"/>
    </inkml:brush>
  </inkml:definitions>
  <inkml:trace contextRef="#ctx0" brushRef="#br0">0-2147483648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4"/>
    </inkml:context>
    <inkml:brush xml:id="br0">
      <inkml:brushProperty name="width" value="0.05" units="cm"/>
      <inkml:brushProperty name="height" value="0.05" units="cm"/>
    </inkml:brush>
  </inkml:definitions>
  <inkml:trace contextRef="#ctx0" brushRef="#br0">0-2147483648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5"/>
    </inkml:context>
    <inkml:brush xml:id="br0">
      <inkml:brushProperty name="width" value="0.05" units="cm"/>
      <inkml:brushProperty name="height" value="0.05" units="cm"/>
    </inkml:brush>
  </inkml:definitions>
  <inkml:trace contextRef="#ctx0" brushRef="#br0">0-2147483648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6"/>
    </inkml:context>
    <inkml:brush xml:id="br0">
      <inkml:brushProperty name="width" value="0.05" units="cm"/>
      <inkml:brushProperty name="height" value="0.05" units="cm"/>
    </inkml:brush>
  </inkml:definitions>
  <inkml:trace contextRef="#ctx0" brushRef="#br0">0-2147483648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7"/>
    </inkml:context>
    <inkml:brush xml:id="br0">
      <inkml:brushProperty name="width" value="0.05" units="cm"/>
      <inkml:brushProperty name="height" value="0.05" units="cm"/>
    </inkml:brush>
  </inkml:definitions>
  <inkml:trace contextRef="#ctx0" brushRef="#br0">0-2147483648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8"/>
    </inkml:context>
    <inkml:brush xml:id="br0">
      <inkml:brushProperty name="width" value="0.05" units="cm"/>
      <inkml:brushProperty name="height" value="0.05" units="cm"/>
    </inkml:brush>
  </inkml:definitions>
  <inkml:trace contextRef="#ctx0" brushRef="#br0">0-2147483648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79"/>
    </inkml:context>
    <inkml:brush xml:id="br0">
      <inkml:brushProperty name="width" value="0.05" units="cm"/>
      <inkml:brushProperty name="height" value="0.05" units="cm"/>
    </inkml:brush>
  </inkml:definitions>
  <inkml:trace contextRef="#ctx0" brushRef="#br0">0-2147483648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0"/>
    </inkml:context>
    <inkml:brush xml:id="br0">
      <inkml:brushProperty name="width" value="0.05" units="cm"/>
      <inkml:brushProperty name="height" value="0.05" units="cm"/>
    </inkml:brush>
  </inkml:definitions>
  <inkml:trace contextRef="#ctx0" brushRef="#br0">0-2147483648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1"/>
    </inkml:context>
    <inkml:brush xml:id="br0">
      <inkml:brushProperty name="width" value="0.05" units="cm"/>
      <inkml:brushProperty name="height" value="0.05" units="cm"/>
    </inkml:brush>
  </inkml:definitions>
  <inkml:trace contextRef="#ctx0" brushRef="#br0">0-2147483648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2"/>
    </inkml:context>
    <inkml:brush xml:id="br0">
      <inkml:brushProperty name="width" value="0.05" units="cm"/>
      <inkml:brushProperty name="height" value="0.05" units="cm"/>
    </inkml:brush>
  </inkml:definitions>
  <inkml:trace contextRef="#ctx0" brushRef="#br0">0-2147483648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3"/>
    </inkml:context>
    <inkml:brush xml:id="br0">
      <inkml:brushProperty name="width" value="0.05" units="cm"/>
      <inkml:brushProperty name="height" value="0.05" units="cm"/>
    </inkml:brush>
  </inkml:definitions>
  <inkml:trace contextRef="#ctx0" brushRef="#br0">0-2147483648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4"/>
    </inkml:context>
    <inkml:brush xml:id="br0">
      <inkml:brushProperty name="width" value="0.05" units="cm"/>
      <inkml:brushProperty name="height" value="0.05" units="cm"/>
    </inkml:brush>
  </inkml:definitions>
  <inkml:trace contextRef="#ctx0" brushRef="#br0">0-2147483648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5"/>
    </inkml:context>
    <inkml:brush xml:id="br0">
      <inkml:brushProperty name="width" value="0.05" units="cm"/>
      <inkml:brushProperty name="height" value="0.05" units="cm"/>
    </inkml:brush>
  </inkml:definitions>
  <inkml:trace contextRef="#ctx0" brushRef="#br0">0-2147483648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6"/>
    </inkml:context>
    <inkml:brush xml:id="br0">
      <inkml:brushProperty name="width" value="0.05" units="cm"/>
      <inkml:brushProperty name="height" value="0.05" units="cm"/>
    </inkml:brush>
  </inkml:definitions>
  <inkml:trace contextRef="#ctx0" brushRef="#br0">0-2147483648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7"/>
    </inkml:context>
    <inkml:brush xml:id="br0">
      <inkml:brushProperty name="width" value="0.05" units="cm"/>
      <inkml:brushProperty name="height" value="0.05" units="cm"/>
    </inkml:brush>
  </inkml:definitions>
  <inkml:trace contextRef="#ctx0" brushRef="#br0">0-2147483648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8"/>
    </inkml:context>
    <inkml:brush xml:id="br0">
      <inkml:brushProperty name="width" value="0.05" units="cm"/>
      <inkml:brushProperty name="height" value="0.05" units="cm"/>
    </inkml:brush>
  </inkml:definitions>
  <inkml:trace contextRef="#ctx0" brushRef="#br0">0-2147483648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89"/>
    </inkml:context>
    <inkml:brush xml:id="br0">
      <inkml:brushProperty name="width" value="0.05" units="cm"/>
      <inkml:brushProperty name="height" value="0.05" units="cm"/>
    </inkml:brush>
  </inkml:definitions>
  <inkml:trace contextRef="#ctx0" brushRef="#br0">0-2147483648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0"/>
    </inkml:context>
    <inkml:brush xml:id="br0">
      <inkml:brushProperty name="width" value="0.05" units="cm"/>
      <inkml:brushProperty name="height" value="0.05" units="cm"/>
    </inkml:brush>
  </inkml:definitions>
  <inkml:trace contextRef="#ctx0" brushRef="#br0">0-2147483648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1"/>
    </inkml:context>
    <inkml:brush xml:id="br0">
      <inkml:brushProperty name="width" value="0.05" units="cm"/>
      <inkml:brushProperty name="height" value="0.05" units="cm"/>
    </inkml:brush>
  </inkml:definitions>
  <inkml:trace contextRef="#ctx0" brushRef="#br0">0-2147483648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2"/>
    </inkml:context>
    <inkml:brush xml:id="br0">
      <inkml:brushProperty name="width" value="0.05" units="cm"/>
      <inkml:brushProperty name="height" value="0.05" units="cm"/>
    </inkml:brush>
  </inkml:definitions>
  <inkml:trace contextRef="#ctx0" brushRef="#br0">0-2147483648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3"/>
    </inkml:context>
    <inkml:brush xml:id="br0">
      <inkml:brushProperty name="width" value="0.05" units="cm"/>
      <inkml:brushProperty name="height" value="0.05" units="cm"/>
    </inkml:brush>
  </inkml:definitions>
  <inkml:trace contextRef="#ctx0" brushRef="#br0">0-2147483648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4"/>
    </inkml:context>
    <inkml:brush xml:id="br0">
      <inkml:brushProperty name="width" value="0.05" units="cm"/>
      <inkml:brushProperty name="height" value="0.05" units="cm"/>
    </inkml:brush>
  </inkml:definitions>
  <inkml:trace contextRef="#ctx0" brushRef="#br0">0-2147483648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5"/>
    </inkml:context>
    <inkml:brush xml:id="br0">
      <inkml:brushProperty name="width" value="0.05" units="cm"/>
      <inkml:brushProperty name="height" value="0.05" units="cm"/>
    </inkml:brush>
  </inkml:definitions>
  <inkml:trace contextRef="#ctx0" brushRef="#br0">0-2147483648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6"/>
    </inkml:context>
    <inkml:brush xml:id="br0">
      <inkml:brushProperty name="width" value="0.05" units="cm"/>
      <inkml:brushProperty name="height" value="0.05" units="cm"/>
    </inkml:brush>
  </inkml:definitions>
  <inkml:trace contextRef="#ctx0" brushRef="#br0">0-2147483648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7"/>
    </inkml:context>
    <inkml:brush xml:id="br0">
      <inkml:brushProperty name="width" value="0.05" units="cm"/>
      <inkml:brushProperty name="height" value="0.05" units="cm"/>
    </inkml:brush>
  </inkml:definitions>
  <inkml:trace contextRef="#ctx0" brushRef="#br0">0-2147483648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8"/>
    </inkml:context>
    <inkml:brush xml:id="br0">
      <inkml:brushProperty name="width" value="0.05" units="cm"/>
      <inkml:brushProperty name="height" value="0.05" units="cm"/>
    </inkml:brush>
  </inkml:definitions>
  <inkml:trace contextRef="#ctx0" brushRef="#br0">0-2147483648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299"/>
    </inkml:context>
    <inkml:brush xml:id="br0">
      <inkml:brushProperty name="width" value="0.05" units="cm"/>
      <inkml:brushProperty name="height" value="0.05" units="cm"/>
    </inkml:brush>
  </inkml:definitions>
  <inkml:trace contextRef="#ctx0" brushRef="#br0">0-2147483648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300"/>
    </inkml:context>
    <inkml:brush xml:id="br0">
      <inkml:brushProperty name="width" value="0.05" units="cm"/>
      <inkml:brushProperty name="height" value="0.05" units="cm"/>
    </inkml:brush>
  </inkml:definitions>
  <inkml:trace contextRef="#ctx0" brushRef="#br0">0-2147483648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301"/>
    </inkml:context>
    <inkml:brush xml:id="br0">
      <inkml:brushProperty name="width" value="0.05" units="cm"/>
      <inkml:brushProperty name="height" value="0.05" units="cm"/>
    </inkml:brush>
  </inkml:definitions>
  <inkml:trace contextRef="#ctx0" brushRef="#br0">0-2147483648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302"/>
    </inkml:context>
    <inkml:brush xml:id="br0">
      <inkml:brushProperty name="width" value="0.05" units="cm"/>
      <inkml:brushProperty name="height" value="0.05" units="cm"/>
    </inkml:brush>
  </inkml:definitions>
  <inkml:trace contextRef="#ctx0" brushRef="#br0">0-2147483648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303"/>
    </inkml:context>
    <inkml:brush xml:id="br0">
      <inkml:brushProperty name="width" value="0.05" units="cm"/>
      <inkml:brushProperty name="height" value="0.05" units="cm"/>
    </inkml:brush>
  </inkml:definitions>
  <inkml:trace contextRef="#ctx0" brushRef="#br0">0-2147483648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304"/>
    </inkml:context>
    <inkml:brush xml:id="br0">
      <inkml:brushProperty name="width" value="0.05" units="cm"/>
      <inkml:brushProperty name="height" value="0.05" units="cm"/>
    </inkml:brush>
  </inkml:definitions>
  <inkml:trace contextRef="#ctx0" brushRef="#br0">0-2147483648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4:28.305"/>
    </inkml:context>
    <inkml:brush xml:id="br0">
      <inkml:brushProperty name="width" value="0.05" units="cm"/>
      <inkml:brushProperty name="height" value="0.05" units="cm"/>
    </inkml:brush>
  </inkml:definitions>
  <inkml:trace contextRef="#ctx0" brushRef="#br0">0-2147483648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87"/>
    </inkml:context>
    <inkml:brush xml:id="br0">
      <inkml:brushProperty name="width" value="0.05" units="cm"/>
      <inkml:brushProperty name="height" value="0.05" units="cm"/>
    </inkml:brush>
  </inkml:definitions>
  <inkml:trace contextRef="#ctx0" brushRef="#br0">0-2147483648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88"/>
    </inkml:context>
    <inkml:brush xml:id="br0">
      <inkml:brushProperty name="width" value="0.05" units="cm"/>
      <inkml:brushProperty name="height" value="0.05" units="cm"/>
    </inkml:brush>
  </inkml:definitions>
  <inkml:trace contextRef="#ctx0" brushRef="#br0">0-2147483648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89"/>
    </inkml:context>
    <inkml:brush xml:id="br0">
      <inkml:brushProperty name="width" value="0.05" units="cm"/>
      <inkml:brushProperty name="height" value="0.05" units="cm"/>
    </inkml:brush>
  </inkml:definitions>
  <inkml:trace contextRef="#ctx0" brushRef="#br0">0-2147483648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90"/>
    </inkml:context>
    <inkml:brush xml:id="br0">
      <inkml:brushProperty name="width" value="0.05" units="cm"/>
      <inkml:brushProperty name="height" value="0.05" units="cm"/>
    </inkml:brush>
  </inkml:definitions>
  <inkml:trace contextRef="#ctx0" brushRef="#br0">0-2147483648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91"/>
    </inkml:context>
    <inkml:brush xml:id="br0">
      <inkml:brushProperty name="width" value="0.05" units="cm"/>
      <inkml:brushProperty name="height" value="0.05" units="cm"/>
    </inkml:brush>
  </inkml:definitions>
  <inkml:trace contextRef="#ctx0" brushRef="#br0">0-2147483648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92"/>
    </inkml:context>
    <inkml:brush xml:id="br0">
      <inkml:brushProperty name="width" value="0.05" units="cm"/>
      <inkml:brushProperty name="height" value="0.05" units="cm"/>
    </inkml:brush>
  </inkml:definitions>
  <inkml:trace contextRef="#ctx0" brushRef="#br0">0-2147483648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93"/>
    </inkml:context>
    <inkml:brush xml:id="br0">
      <inkml:brushProperty name="width" value="0.05" units="cm"/>
      <inkml:brushProperty name="height" value="0.05" units="cm"/>
    </inkml:brush>
  </inkml:definitions>
  <inkml:trace contextRef="#ctx0" brushRef="#br0">0-2147483648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94"/>
    </inkml:context>
    <inkml:brush xml:id="br0">
      <inkml:brushProperty name="width" value="0.05" units="cm"/>
      <inkml:brushProperty name="height" value="0.05" units="cm"/>
    </inkml:brush>
  </inkml:definitions>
  <inkml:trace contextRef="#ctx0" brushRef="#br0">0-2147483648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95"/>
    </inkml:context>
    <inkml:brush xml:id="br0">
      <inkml:brushProperty name="width" value="0.05" units="cm"/>
      <inkml:brushProperty name="height" value="0.05" units="cm"/>
    </inkml:brush>
  </inkml:definitions>
  <inkml:trace contextRef="#ctx0" brushRef="#br0">0-2147483648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96"/>
    </inkml:context>
    <inkml:brush xml:id="br0">
      <inkml:brushProperty name="width" value="0.05" units="cm"/>
      <inkml:brushProperty name="height" value="0.05" units="cm"/>
    </inkml:brush>
  </inkml:definitions>
  <inkml:trace contextRef="#ctx0" brushRef="#br0">0-2147483648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97"/>
    </inkml:context>
    <inkml:brush xml:id="br0">
      <inkml:brushProperty name="width" value="0.05" units="cm"/>
      <inkml:brushProperty name="height" value="0.05" units="cm"/>
    </inkml:brush>
  </inkml:definitions>
  <inkml:trace contextRef="#ctx0" brushRef="#br0">0-2147483648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5:28.898"/>
    </inkml:context>
    <inkml:brush xml:id="br0">
      <inkml:brushProperty name="width" value="0.05" units="cm"/>
      <inkml:brushProperty name="height" value="0.05" units="cm"/>
    </inkml:brush>
  </inkml:definitions>
  <inkml:trace contextRef="#ctx0" brushRef="#br0">0-2147483648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1:15.694"/>
    </inkml:context>
    <inkml:brush xml:id="br0">
      <inkml:brushProperty name="width" value="0.05" units="cm"/>
      <inkml:brushProperty name="height" value="0.05" units="cm"/>
    </inkml:brush>
  </inkml:definitions>
  <inkml:trace contextRef="#ctx0" brushRef="#br0">0-2147483648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1:15.695"/>
    </inkml:context>
    <inkml:brush xml:id="br0">
      <inkml:brushProperty name="width" value="0.05" units="cm"/>
      <inkml:brushProperty name="height" value="0.05" units="cm"/>
    </inkml:brush>
  </inkml:definitions>
  <inkml:trace contextRef="#ctx0" brushRef="#br0">0-2147483648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1:15.696"/>
    </inkml:context>
    <inkml:brush xml:id="br0">
      <inkml:brushProperty name="width" value="0.05" units="cm"/>
      <inkml:brushProperty name="height" value="0.05" units="cm"/>
    </inkml:brush>
  </inkml:definitions>
  <inkml:trace contextRef="#ctx0" brushRef="#br0">0-2147483648 24575,'0'0'-8191</inkml:trace>
</inkml:ink>
</file>

<file path=xl/ink/ink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51:15.697"/>
    </inkml:context>
    <inkml:brush xml:id="br0">
      <inkml:brushProperty name="width" value="0.05" units="cm"/>
      <inkml:brushProperty name="height" value="0.05" units="cm"/>
    </inkml:brush>
  </inkml:definitions>
  <inkml:trace contextRef="#ctx0" brushRef="#br0">0-2147483648 24575,'0'0'-8191</inkml:trace>
</inkml:ink>
</file>

<file path=xl/ink/ink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74"/>
    </inkml:context>
    <inkml:brush xml:id="br0">
      <inkml:brushProperty name="width" value="0.05" units="cm"/>
      <inkml:brushProperty name="height" value="0.05" units="cm"/>
    </inkml:brush>
  </inkml:definitions>
  <inkml:trace contextRef="#ctx0" brushRef="#br0">0-2147483648 24575,'0'0'-8191</inkml:trace>
</inkml:ink>
</file>

<file path=xl/ink/ink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75"/>
    </inkml:context>
    <inkml:brush xml:id="br0">
      <inkml:brushProperty name="width" value="0.05" units="cm"/>
      <inkml:brushProperty name="height" value="0.05" units="cm"/>
    </inkml:brush>
  </inkml:definitions>
  <inkml:trace contextRef="#ctx0" brushRef="#br0">0-2147483648 24575,'0'0'-8191</inkml:trace>
</inkml:ink>
</file>

<file path=xl/ink/ink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76"/>
    </inkml:context>
    <inkml:brush xml:id="br0">
      <inkml:brushProperty name="width" value="0.05" units="cm"/>
      <inkml:brushProperty name="height" value="0.05" units="cm"/>
    </inkml:brush>
  </inkml:definitions>
  <inkml:trace contextRef="#ctx0" brushRef="#br0">0-2147483648 24575,'0'0'-8191</inkml:trace>
</inkml:ink>
</file>

<file path=xl/ink/ink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77"/>
    </inkml:context>
    <inkml:brush xml:id="br0">
      <inkml:brushProperty name="width" value="0.05" units="cm"/>
      <inkml:brushProperty name="height" value="0.05" units="cm"/>
    </inkml:brush>
  </inkml:definitions>
  <inkml:trace contextRef="#ctx0" brushRef="#br0">0-2147483648 24575,'0'0'-8191</inkml:trace>
</inkml:ink>
</file>

<file path=xl/ink/ink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78"/>
    </inkml:context>
    <inkml:brush xml:id="br0">
      <inkml:brushProperty name="width" value="0.05" units="cm"/>
      <inkml:brushProperty name="height" value="0.05" units="cm"/>
    </inkml:brush>
  </inkml:definitions>
  <inkml:trace contextRef="#ctx0" brushRef="#br0">0-2147483648 24575,'0'0'-8191</inkml:trace>
</inkml:ink>
</file>

<file path=xl/ink/ink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79"/>
    </inkml:context>
    <inkml:brush xml:id="br0">
      <inkml:brushProperty name="width" value="0.05" units="cm"/>
      <inkml:brushProperty name="height" value="0.05" units="cm"/>
    </inkml:brush>
  </inkml:definitions>
  <inkml:trace contextRef="#ctx0" brushRef="#br0">0-2147483648 24575,'0'0'-8191</inkml:trace>
</inkml:ink>
</file>

<file path=xl/ink/ink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0"/>
    </inkml:context>
    <inkml:brush xml:id="br0">
      <inkml:brushProperty name="width" value="0.05" units="cm"/>
      <inkml:brushProperty name="height" value="0.05" units="cm"/>
    </inkml:brush>
  </inkml:definitions>
  <inkml:trace contextRef="#ctx0" brushRef="#br0">0-2147483648 24575,'0'0'-8191</inkml:trace>
</inkml:ink>
</file>

<file path=xl/ink/ink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1"/>
    </inkml:context>
    <inkml:brush xml:id="br0">
      <inkml:brushProperty name="width" value="0.05" units="cm"/>
      <inkml:brushProperty name="height" value="0.05" units="cm"/>
    </inkml:brush>
  </inkml:definitions>
  <inkml:trace contextRef="#ctx0" brushRef="#br0">0-2147483648 24575,'0'0'-8191</inkml:trace>
</inkml:ink>
</file>

<file path=xl/ink/ink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2"/>
    </inkml:context>
    <inkml:brush xml:id="br0">
      <inkml:brushProperty name="width" value="0.05" units="cm"/>
      <inkml:brushProperty name="height" value="0.05" units="cm"/>
    </inkml:brush>
  </inkml:definitions>
  <inkml:trace contextRef="#ctx0" brushRef="#br0">0-2147483648 24575,'0'0'-8191</inkml:trace>
</inkml:ink>
</file>

<file path=xl/ink/ink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3"/>
    </inkml:context>
    <inkml:brush xml:id="br0">
      <inkml:brushProperty name="width" value="0.05" units="cm"/>
      <inkml:brushProperty name="height" value="0.05" units="cm"/>
    </inkml:brush>
  </inkml:definitions>
  <inkml:trace contextRef="#ctx0" brushRef="#br0">0-2147483648 24575,'0'0'-8191</inkml:trace>
</inkml:ink>
</file>

<file path=xl/ink/ink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4"/>
    </inkml:context>
    <inkml:brush xml:id="br0">
      <inkml:brushProperty name="width" value="0.05" units="cm"/>
      <inkml:brushProperty name="height" value="0.05" units="cm"/>
    </inkml:brush>
  </inkml:definitions>
  <inkml:trace contextRef="#ctx0" brushRef="#br0">0-2147483648 24575,'0'0'-8191</inkml:trace>
</inkml:ink>
</file>

<file path=xl/ink/ink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5"/>
    </inkml:context>
    <inkml:brush xml:id="br0">
      <inkml:brushProperty name="width" value="0.05" units="cm"/>
      <inkml:brushProperty name="height" value="0.05" units="cm"/>
    </inkml:brush>
  </inkml:definitions>
  <inkml:trace contextRef="#ctx0" brushRef="#br0">0-2147483648 24575,'0'0'-8191</inkml:trace>
</inkml:ink>
</file>

<file path=xl/ink/ink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6"/>
    </inkml:context>
    <inkml:brush xml:id="br0">
      <inkml:brushProperty name="width" value="0.05" units="cm"/>
      <inkml:brushProperty name="height" value="0.05" units="cm"/>
    </inkml:brush>
  </inkml:definitions>
  <inkml:trace contextRef="#ctx0" brushRef="#br0">0-2147483648 24575,'0'0'-8191</inkml:trace>
</inkml:ink>
</file>

<file path=xl/ink/ink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7"/>
    </inkml:context>
    <inkml:brush xml:id="br0">
      <inkml:brushProperty name="width" value="0.05" units="cm"/>
      <inkml:brushProperty name="height" value="0.05" units="cm"/>
    </inkml:brush>
  </inkml:definitions>
  <inkml:trace contextRef="#ctx0" brushRef="#br0">0-2147483648 24575,'0'0'-8191</inkml:trace>
</inkml:ink>
</file>

<file path=xl/ink/ink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8"/>
    </inkml:context>
    <inkml:brush xml:id="br0">
      <inkml:brushProperty name="width" value="0.05" units="cm"/>
      <inkml:brushProperty name="height" value="0.05" units="cm"/>
    </inkml:brush>
  </inkml:definitions>
  <inkml:trace contextRef="#ctx0" brushRef="#br0">0-2147483648 24575,'0'0'-8191</inkml:trace>
</inkml:ink>
</file>

<file path=xl/ink/ink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89"/>
    </inkml:context>
    <inkml:brush xml:id="br0">
      <inkml:brushProperty name="width" value="0.05" units="cm"/>
      <inkml:brushProperty name="height" value="0.05" units="cm"/>
    </inkml:brush>
  </inkml:definitions>
  <inkml:trace contextRef="#ctx0" brushRef="#br0">0-2147483648 24575,'0'0'-8191</inkml:trace>
</inkml:ink>
</file>

<file path=xl/ink/ink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0"/>
    </inkml:context>
    <inkml:brush xml:id="br0">
      <inkml:brushProperty name="width" value="0.05" units="cm"/>
      <inkml:brushProperty name="height" value="0.05" units="cm"/>
    </inkml:brush>
  </inkml:definitions>
  <inkml:trace contextRef="#ctx0" brushRef="#br0">0-2147483648 24575,'0'0'-8191</inkml:trace>
</inkml:ink>
</file>

<file path=xl/ink/ink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1"/>
    </inkml:context>
    <inkml:brush xml:id="br0">
      <inkml:brushProperty name="width" value="0.05" units="cm"/>
      <inkml:brushProperty name="height" value="0.05" units="cm"/>
    </inkml:brush>
  </inkml:definitions>
  <inkml:trace contextRef="#ctx0" brushRef="#br0">0-2147483648 24575,'0'0'-8191</inkml:trace>
</inkml:ink>
</file>

<file path=xl/ink/ink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2"/>
    </inkml:context>
    <inkml:brush xml:id="br0">
      <inkml:brushProperty name="width" value="0.05" units="cm"/>
      <inkml:brushProperty name="height" value="0.05" units="cm"/>
    </inkml:brush>
  </inkml:definitions>
  <inkml:trace contextRef="#ctx0" brushRef="#br0">0-2147483648 24575,'0'0'-8191</inkml:trace>
</inkml:ink>
</file>

<file path=xl/ink/ink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3"/>
    </inkml:context>
    <inkml:brush xml:id="br0">
      <inkml:brushProperty name="width" value="0.05" units="cm"/>
      <inkml:brushProperty name="height" value="0.05" units="cm"/>
    </inkml:brush>
  </inkml:definitions>
  <inkml:trace contextRef="#ctx0" brushRef="#br0">0-2147483648 24575,'0'0'-8191</inkml:trace>
</inkml:ink>
</file>

<file path=xl/ink/ink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4"/>
    </inkml:context>
    <inkml:brush xml:id="br0">
      <inkml:brushProperty name="width" value="0.05" units="cm"/>
      <inkml:brushProperty name="height" value="0.05" units="cm"/>
    </inkml:brush>
  </inkml:definitions>
  <inkml:trace contextRef="#ctx0" brushRef="#br0">0-2147483648 24575,'0'0'-8191</inkml:trace>
</inkml:ink>
</file>

<file path=xl/ink/ink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5"/>
    </inkml:context>
    <inkml:brush xml:id="br0">
      <inkml:brushProperty name="width" value="0.05" units="cm"/>
      <inkml:brushProperty name="height" value="0.05" units="cm"/>
    </inkml:brush>
  </inkml:definitions>
  <inkml:trace contextRef="#ctx0" brushRef="#br0">0-2147483648 24575,'0'0'-8191</inkml:trace>
</inkml:ink>
</file>

<file path=xl/ink/ink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6"/>
    </inkml:context>
    <inkml:brush xml:id="br0">
      <inkml:brushProperty name="width" value="0.05" units="cm"/>
      <inkml:brushProperty name="height" value="0.05" units="cm"/>
    </inkml:brush>
  </inkml:definitions>
  <inkml:trace contextRef="#ctx0" brushRef="#br0">0-2147483648 24575,'0'0'-8191</inkml:trace>
</inkml:ink>
</file>

<file path=xl/ink/ink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7"/>
    </inkml:context>
    <inkml:brush xml:id="br0">
      <inkml:brushProperty name="width" value="0.05" units="cm"/>
      <inkml:brushProperty name="height" value="0.05" units="cm"/>
    </inkml:brush>
  </inkml:definitions>
  <inkml:trace contextRef="#ctx0" brushRef="#br0">0-2147483648 24575,'0'0'-8191</inkml:trace>
</inkml:ink>
</file>

<file path=xl/ink/ink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8"/>
    </inkml:context>
    <inkml:brush xml:id="br0">
      <inkml:brushProperty name="width" value="0.05" units="cm"/>
      <inkml:brushProperty name="height" value="0.05" units="cm"/>
    </inkml:brush>
  </inkml:definitions>
  <inkml:trace contextRef="#ctx0" brushRef="#br0">0-2147483648 24575,'0'0'-8191</inkml:trace>
</inkml:ink>
</file>

<file path=xl/ink/ink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299"/>
    </inkml:context>
    <inkml:brush xml:id="br0">
      <inkml:brushProperty name="width" value="0.05" units="cm"/>
      <inkml:brushProperty name="height" value="0.05" units="cm"/>
    </inkml:brush>
  </inkml:definitions>
  <inkml:trace contextRef="#ctx0" brushRef="#br0">0-2147483648 24575,'0'0'-8191</inkml:trace>
</inkml:ink>
</file>

<file path=xl/ink/ink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0"/>
    </inkml:context>
    <inkml:brush xml:id="br0">
      <inkml:brushProperty name="width" value="0.05" units="cm"/>
      <inkml:brushProperty name="height" value="0.05" units="cm"/>
    </inkml:brush>
  </inkml:definitions>
  <inkml:trace contextRef="#ctx0" brushRef="#br0">0-2147483648 24575,'0'0'-8191</inkml:trace>
</inkml:ink>
</file>

<file path=xl/ink/ink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1"/>
    </inkml:context>
    <inkml:brush xml:id="br0">
      <inkml:brushProperty name="width" value="0.05" units="cm"/>
      <inkml:brushProperty name="height" value="0.05" units="cm"/>
    </inkml:brush>
  </inkml:definitions>
  <inkml:trace contextRef="#ctx0" brushRef="#br0">0-2147483648 24575,'0'0'-8191</inkml:trace>
</inkml:ink>
</file>

<file path=xl/ink/ink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2"/>
    </inkml:context>
    <inkml:brush xml:id="br0">
      <inkml:brushProperty name="width" value="0.05" units="cm"/>
      <inkml:brushProperty name="height" value="0.05" units="cm"/>
    </inkml:brush>
  </inkml:definitions>
  <inkml:trace contextRef="#ctx0" brushRef="#br0">0-2147483648 24575,'0'0'-8191</inkml:trace>
</inkml:ink>
</file>

<file path=xl/ink/ink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3"/>
    </inkml:context>
    <inkml:brush xml:id="br0">
      <inkml:brushProperty name="width" value="0.05" units="cm"/>
      <inkml:brushProperty name="height" value="0.05" units="cm"/>
    </inkml:brush>
  </inkml:definitions>
  <inkml:trace contextRef="#ctx0" brushRef="#br0">0-2147483648 24575,'0'0'-8191</inkml:trace>
</inkml:ink>
</file>

<file path=xl/ink/ink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4"/>
    </inkml:context>
    <inkml:brush xml:id="br0">
      <inkml:brushProperty name="width" value="0.05" units="cm"/>
      <inkml:brushProperty name="height" value="0.05" units="cm"/>
    </inkml:brush>
  </inkml:definitions>
  <inkml:trace contextRef="#ctx0" brushRef="#br0">0-2147483648 24575,'0'0'-8191</inkml:trace>
</inkml:ink>
</file>

<file path=xl/ink/ink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5"/>
    </inkml:context>
    <inkml:brush xml:id="br0">
      <inkml:brushProperty name="width" value="0.05" units="cm"/>
      <inkml:brushProperty name="height" value="0.05" units="cm"/>
    </inkml:brush>
  </inkml:definitions>
  <inkml:trace contextRef="#ctx0" brushRef="#br0">0-2147483648 24575,'0'0'-8191</inkml:trace>
</inkml:ink>
</file>

<file path=xl/ink/ink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6"/>
    </inkml:context>
    <inkml:brush xml:id="br0">
      <inkml:brushProperty name="width" value="0.05" units="cm"/>
      <inkml:brushProperty name="height" value="0.05" units="cm"/>
    </inkml:brush>
  </inkml:definitions>
  <inkml:trace contextRef="#ctx0" brushRef="#br0">0-2147483648 24575,'0'0'-8191</inkml:trace>
</inkml:ink>
</file>

<file path=xl/ink/ink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7"/>
    </inkml:context>
    <inkml:brush xml:id="br0">
      <inkml:brushProperty name="width" value="0.05" units="cm"/>
      <inkml:brushProperty name="height" value="0.05" units="cm"/>
    </inkml:brush>
  </inkml:definitions>
  <inkml:trace contextRef="#ctx0" brushRef="#br0">0-2147483648 24575,'0'0'-8191</inkml:trace>
</inkml:ink>
</file>

<file path=xl/ink/ink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8"/>
    </inkml:context>
    <inkml:brush xml:id="br0">
      <inkml:brushProperty name="width" value="0.05" units="cm"/>
      <inkml:brushProperty name="height" value="0.05" units="cm"/>
    </inkml:brush>
  </inkml:definitions>
  <inkml:trace contextRef="#ctx0" brushRef="#br0">0-2147483648 24575,'0'0'-8191</inkml:trace>
</inkml:ink>
</file>

<file path=xl/ink/ink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09"/>
    </inkml:context>
    <inkml:brush xml:id="br0">
      <inkml:brushProperty name="width" value="0.05" units="cm"/>
      <inkml:brushProperty name="height" value="0.05" units="cm"/>
    </inkml:brush>
  </inkml:definitions>
  <inkml:trace contextRef="#ctx0" brushRef="#br0">0-2147483648 24575,'0'0'-8191</inkml:trace>
</inkml:ink>
</file>

<file path=xl/ink/ink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10"/>
    </inkml:context>
    <inkml:brush xml:id="br0">
      <inkml:brushProperty name="width" value="0.05" units="cm"/>
      <inkml:brushProperty name="height" value="0.05" units="cm"/>
    </inkml:brush>
  </inkml:definitions>
  <inkml:trace contextRef="#ctx0" brushRef="#br0">0-2147483648 24575,'0'0'-8191</inkml:trace>
</inkml:ink>
</file>

<file path=xl/ink/ink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11"/>
    </inkml:context>
    <inkml:brush xml:id="br0">
      <inkml:brushProperty name="width" value="0.05" units="cm"/>
      <inkml:brushProperty name="height" value="0.05" units="cm"/>
    </inkml:brush>
  </inkml:definitions>
  <inkml:trace contextRef="#ctx0" brushRef="#br0">0-2147483648 24575,'0'0'-8191</inkml:trace>
</inkml:ink>
</file>

<file path=xl/ink/ink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12"/>
    </inkml:context>
    <inkml:brush xml:id="br0">
      <inkml:brushProperty name="width" value="0.05" units="cm"/>
      <inkml:brushProperty name="height" value="0.05" units="cm"/>
    </inkml:brush>
  </inkml:definitions>
  <inkml:trace contextRef="#ctx0" brushRef="#br0">0-2147483648 24575,'0'0'-8191</inkml:trace>
</inkml:ink>
</file>

<file path=xl/ink/ink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06:27.313"/>
    </inkml:context>
    <inkml:brush xml:id="br0">
      <inkml:brushProperty name="width" value="0.05" units="cm"/>
      <inkml:brushProperty name="height" value="0.05" units="cm"/>
    </inkml:brush>
  </inkml:definitions>
  <inkml:trace contextRef="#ctx0" brushRef="#br0">0-2147483648 24575,'0'0'-8191</inkml:trace>
</inkml:ink>
</file>

<file path=xl/ink/ink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22:36.352"/>
    </inkml:context>
    <inkml:brush xml:id="br0">
      <inkml:brushProperty name="width" value="0.05" units="cm"/>
      <inkml:brushProperty name="height" value="0.05" units="cm"/>
    </inkml:brush>
  </inkml:definitions>
  <inkml:trace contextRef="#ctx0" brushRef="#br0">0-2147483648 24575,'0'0'-8191</inkml:trace>
</inkml:ink>
</file>

<file path=xl/ink/ink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22:36.353"/>
    </inkml:context>
    <inkml:brush xml:id="br0">
      <inkml:brushProperty name="width" value="0.05" units="cm"/>
      <inkml:brushProperty name="height" value="0.05" units="cm"/>
    </inkml:brush>
  </inkml:definitions>
  <inkml:trace contextRef="#ctx0" brushRef="#br0">0-2147483648 24575,'0'0'-8191</inkml:trace>
</inkml:ink>
</file>

<file path=xl/ink/ink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22:36.354"/>
    </inkml:context>
    <inkml:brush xml:id="br0">
      <inkml:brushProperty name="width" value="0.05" units="cm"/>
      <inkml:brushProperty name="height" value="0.05" units="cm"/>
    </inkml:brush>
  </inkml:definitions>
  <inkml:trace contextRef="#ctx0" brushRef="#br0">0-2147483648 24575,'0'0'-8191</inkml:trace>
</inkml:ink>
</file>

<file path=xl/ink/ink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7:22:36.355"/>
    </inkml:context>
    <inkml:brush xml:id="br0">
      <inkml:brushProperty name="width" value="0.05" units="cm"/>
      <inkml:brushProperty name="height" value="0.05" units="cm"/>
    </inkml:brush>
  </inkml:definitions>
  <inkml:trace contextRef="#ctx0" brushRef="#br0">0-2147483648 24575,'0'0'-8191</inkml:trace>
</inkml:ink>
</file>

<file path=xl/ink/ink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39:42.189"/>
    </inkml:context>
    <inkml:brush xml:id="br0">
      <inkml:brushProperty name="width" value="0.05" units="cm"/>
      <inkml:brushProperty name="height" value="0.05" units="cm"/>
    </inkml:brush>
  </inkml:definitions>
  <inkml:trace contextRef="#ctx0" brushRef="#br0">0-2147483648 24575,'0'0'-8191</inkml:trace>
</inkml:ink>
</file>

<file path=xl/ink/ink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39:42.190"/>
    </inkml:context>
    <inkml:brush xml:id="br0">
      <inkml:brushProperty name="width" value="0.05" units="cm"/>
      <inkml:brushProperty name="height" value="0.05" units="cm"/>
    </inkml:brush>
  </inkml:definitions>
  <inkml:trace contextRef="#ctx0" brushRef="#br0">0-2147483648 24575,'0'0'-8191</inkml:trace>
</inkml:ink>
</file>

<file path=xl/ink/ink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39:42.470"/>
    </inkml:context>
    <inkml:brush xml:id="br0">
      <inkml:brushProperty name="width" value="0.05" units="cm"/>
      <inkml:brushProperty name="height" value="0.05" units="cm"/>
    </inkml:brush>
  </inkml:definitions>
  <inkml:trace contextRef="#ctx0" brushRef="#br0">0-2147483648 24575,'0'0'-8191</inkml:trace>
</inkml:ink>
</file>

<file path=xl/ink/ink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6:39:42.471"/>
    </inkml:context>
    <inkml:brush xml:id="br0">
      <inkml:brushProperty name="width" value="0.05" units="cm"/>
      <inkml:brushProperty name="height" value="0.05" units="cm"/>
    </inkml:brush>
  </inkml:definitions>
  <inkml:trace contextRef="#ctx0" brushRef="#br0">0-2147483648 24575,'0'0'-8191</inkml:trace>
</inkml:ink>
</file>

<file path=xl/ink/ink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61"/>
    </inkml:context>
    <inkml:brush xml:id="br0">
      <inkml:brushProperty name="width" value="0.05" units="cm"/>
      <inkml:brushProperty name="height" value="0.05" units="cm"/>
    </inkml:brush>
  </inkml:definitions>
  <inkml:trace contextRef="#ctx0" brushRef="#br0">-2147483648-2147483648 24575,'0'0'-8191</inkml:trace>
</inkml:ink>
</file>

<file path=xl/ink/ink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62"/>
    </inkml:context>
    <inkml:brush xml:id="br0">
      <inkml:brushProperty name="width" value="0.05" units="cm"/>
      <inkml:brushProperty name="height" value="0.05" units="cm"/>
    </inkml:brush>
  </inkml:definitions>
  <inkml:trace contextRef="#ctx0" brushRef="#br0">-2147483648-2147483648 24575,'0'0'-8191</inkml:trace>
</inkml:ink>
</file>

<file path=xl/ink/ink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63"/>
    </inkml:context>
    <inkml:brush xml:id="br0">
      <inkml:brushProperty name="width" value="0.05" units="cm"/>
      <inkml:brushProperty name="height" value="0.05" units="cm"/>
    </inkml:brush>
  </inkml:definitions>
  <inkml:trace contextRef="#ctx0" brushRef="#br0">-2147483648-2147483648 24575,'0'0'-8191</inkml:trace>
</inkml:ink>
</file>

<file path=xl/ink/ink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64"/>
    </inkml:context>
    <inkml:brush xml:id="br0">
      <inkml:brushProperty name="width" value="0.05" units="cm"/>
      <inkml:brushProperty name="height" value="0.05" units="cm"/>
    </inkml:brush>
  </inkml:definitions>
  <inkml:trace contextRef="#ctx0" brushRef="#br0">-2147483648-2147483648 24575,'0'0'-8191</inkml:trace>
</inkml:ink>
</file>

<file path=xl/ink/ink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65"/>
    </inkml:context>
    <inkml:brush xml:id="br0">
      <inkml:brushProperty name="width" value="0.05" units="cm"/>
      <inkml:brushProperty name="height" value="0.05" units="cm"/>
    </inkml:brush>
  </inkml:definitions>
  <inkml:trace contextRef="#ctx0" brushRef="#br0">-2147483648-2147483648 24575,'0'0'-8191</inkml:trace>
</inkml:ink>
</file>

<file path=xl/ink/ink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66"/>
    </inkml:context>
    <inkml:brush xml:id="br0">
      <inkml:brushProperty name="width" value="0.05" units="cm"/>
      <inkml:brushProperty name="height" value="0.05" units="cm"/>
    </inkml:brush>
  </inkml:definitions>
  <inkml:trace contextRef="#ctx0" brushRef="#br0">-2147483648-2147483648 24575,'0'0'-8191</inkml:trace>
</inkml:ink>
</file>

<file path=xl/ink/ink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67"/>
    </inkml:context>
    <inkml:brush xml:id="br0">
      <inkml:brushProperty name="width" value="0.05" units="cm"/>
      <inkml:brushProperty name="height" value="0.05" units="cm"/>
    </inkml:brush>
  </inkml:definitions>
  <inkml:trace contextRef="#ctx0" brushRef="#br0">-2147483648-2147483648 24575,'0'0'-8191</inkml:trace>
</inkml:ink>
</file>

<file path=xl/ink/ink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68"/>
    </inkml:context>
    <inkml:brush xml:id="br0">
      <inkml:brushProperty name="width" value="0.05" units="cm"/>
      <inkml:brushProperty name="height" value="0.05" units="cm"/>
    </inkml:brush>
  </inkml:definitions>
  <inkml:trace contextRef="#ctx0" brushRef="#br0">-2147483648-2147483648 24575,'0'0'-8191</inkml:trace>
</inkml:ink>
</file>

<file path=xl/ink/ink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69"/>
    </inkml:context>
    <inkml:brush xml:id="br0">
      <inkml:brushProperty name="width" value="0.05" units="cm"/>
      <inkml:brushProperty name="height" value="0.05" units="cm"/>
    </inkml:brush>
  </inkml:definitions>
  <inkml:trace contextRef="#ctx0" brushRef="#br0">-2147483648-2147483648 24575,'0'0'-8191</inkml:trace>
</inkml:ink>
</file>

<file path=xl/ink/ink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0"/>
    </inkml:context>
    <inkml:brush xml:id="br0">
      <inkml:brushProperty name="width" value="0.05" units="cm"/>
      <inkml:brushProperty name="height" value="0.05" units="cm"/>
    </inkml:brush>
  </inkml:definitions>
  <inkml:trace contextRef="#ctx0" brushRef="#br0">-2147483648-2147483648 24575,'0'0'-8191</inkml:trace>
</inkml:ink>
</file>

<file path=xl/ink/ink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1"/>
    </inkml:context>
    <inkml:brush xml:id="br0">
      <inkml:brushProperty name="width" value="0.05" units="cm"/>
      <inkml:brushProperty name="height" value="0.05" units="cm"/>
    </inkml:brush>
  </inkml:definitions>
  <inkml:trace contextRef="#ctx0" brushRef="#br0">-2147483648-2147483648 24575,'0'0'-8191</inkml:trace>
</inkml:ink>
</file>

<file path=xl/ink/ink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2"/>
    </inkml:context>
    <inkml:brush xml:id="br0">
      <inkml:brushProperty name="width" value="0.05" units="cm"/>
      <inkml:brushProperty name="height" value="0.05" units="cm"/>
    </inkml:brush>
  </inkml:definitions>
  <inkml:trace contextRef="#ctx0" brushRef="#br0">-2147483648-2147483648 24575,'0'0'-8191</inkml:trace>
</inkml:ink>
</file>

<file path=xl/ink/ink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3"/>
    </inkml:context>
    <inkml:brush xml:id="br0">
      <inkml:brushProperty name="width" value="0.05" units="cm"/>
      <inkml:brushProperty name="height" value="0.05" units="cm"/>
    </inkml:brush>
  </inkml:definitions>
  <inkml:trace contextRef="#ctx0" brushRef="#br0">-2147483648-2147483648 24575,'0'0'-8191</inkml:trace>
</inkml:ink>
</file>

<file path=xl/ink/ink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4"/>
    </inkml:context>
    <inkml:brush xml:id="br0">
      <inkml:brushProperty name="width" value="0.05" units="cm"/>
      <inkml:brushProperty name="height" value="0.05" units="cm"/>
    </inkml:brush>
  </inkml:definitions>
  <inkml:trace contextRef="#ctx0" brushRef="#br0">-2147483648-2147483648 24575,'0'0'-8191</inkml:trace>
</inkml:ink>
</file>

<file path=xl/ink/ink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5"/>
    </inkml:context>
    <inkml:brush xml:id="br0">
      <inkml:brushProperty name="width" value="0.05" units="cm"/>
      <inkml:brushProperty name="height" value="0.05" units="cm"/>
    </inkml:brush>
  </inkml:definitions>
  <inkml:trace contextRef="#ctx0" brushRef="#br0">-2147483648-2147483648 24575,'0'0'-8191</inkml:trace>
</inkml:ink>
</file>

<file path=xl/ink/ink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6"/>
    </inkml:context>
    <inkml:brush xml:id="br0">
      <inkml:brushProperty name="width" value="0.05" units="cm"/>
      <inkml:brushProperty name="height" value="0.05" units="cm"/>
    </inkml:brush>
  </inkml:definitions>
  <inkml:trace contextRef="#ctx0" brushRef="#br0">-2147483648-2147483648 24575,'0'0'-8191</inkml:trace>
</inkml:ink>
</file>

<file path=xl/ink/ink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7"/>
    </inkml:context>
    <inkml:brush xml:id="br0">
      <inkml:brushProperty name="width" value="0.05" units="cm"/>
      <inkml:brushProperty name="height" value="0.05" units="cm"/>
    </inkml:brush>
  </inkml:definitions>
  <inkml:trace contextRef="#ctx0" brushRef="#br0">-2147483648-2147483648 24575,'0'0'-8191</inkml:trace>
</inkml:ink>
</file>

<file path=xl/ink/ink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8"/>
    </inkml:context>
    <inkml:brush xml:id="br0">
      <inkml:brushProperty name="width" value="0.05" units="cm"/>
      <inkml:brushProperty name="height" value="0.05" units="cm"/>
    </inkml:brush>
  </inkml:definitions>
  <inkml:trace contextRef="#ctx0" brushRef="#br0">-2147483648-2147483648 24575,'0'0'-8191</inkml:trace>
</inkml:ink>
</file>

<file path=xl/ink/ink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79"/>
    </inkml:context>
    <inkml:brush xml:id="br0">
      <inkml:brushProperty name="width" value="0.05" units="cm"/>
      <inkml:brushProperty name="height" value="0.05" units="cm"/>
    </inkml:brush>
  </inkml:definitions>
  <inkml:trace contextRef="#ctx0" brushRef="#br0">-2147483648-2147483648 24575,'0'0'-8191</inkml:trace>
</inkml:ink>
</file>

<file path=xl/ink/ink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0"/>
    </inkml:context>
    <inkml:brush xml:id="br0">
      <inkml:brushProperty name="width" value="0.05" units="cm"/>
      <inkml:brushProperty name="height" value="0.05" units="cm"/>
    </inkml:brush>
  </inkml:definitions>
  <inkml:trace contextRef="#ctx0" brushRef="#br0">-2147483648-2147483648 24575,'0'0'-8191</inkml:trace>
</inkml:ink>
</file>

<file path=xl/ink/ink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1"/>
    </inkml:context>
    <inkml:brush xml:id="br0">
      <inkml:brushProperty name="width" value="0.05" units="cm"/>
      <inkml:brushProperty name="height" value="0.05" units="cm"/>
    </inkml:brush>
  </inkml:definitions>
  <inkml:trace contextRef="#ctx0" brushRef="#br0">-2147483648-2147483648 24575,'0'0'-8191</inkml:trace>
</inkml:ink>
</file>

<file path=xl/ink/ink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2"/>
    </inkml:context>
    <inkml:brush xml:id="br0">
      <inkml:brushProperty name="width" value="0.05" units="cm"/>
      <inkml:brushProperty name="height" value="0.05" units="cm"/>
    </inkml:brush>
  </inkml:definitions>
  <inkml:trace contextRef="#ctx0" brushRef="#br0">-2147483648-2147483648 24575,'0'0'-8191</inkml:trace>
</inkml:ink>
</file>

<file path=xl/ink/ink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3"/>
    </inkml:context>
    <inkml:brush xml:id="br0">
      <inkml:brushProperty name="width" value="0.05" units="cm"/>
      <inkml:brushProperty name="height" value="0.05" units="cm"/>
    </inkml:brush>
  </inkml:definitions>
  <inkml:trace contextRef="#ctx0" brushRef="#br0">-2147483648-2147483648 24575,'0'0'-8191</inkml:trace>
</inkml:ink>
</file>

<file path=xl/ink/ink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4"/>
    </inkml:context>
    <inkml:brush xml:id="br0">
      <inkml:brushProperty name="width" value="0.05" units="cm"/>
      <inkml:brushProperty name="height" value="0.05" units="cm"/>
    </inkml:brush>
  </inkml:definitions>
  <inkml:trace contextRef="#ctx0" brushRef="#br0">-2147483648-2147483648 24575,'0'0'-8191</inkml:trace>
</inkml:ink>
</file>

<file path=xl/ink/ink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5"/>
    </inkml:context>
    <inkml:brush xml:id="br0">
      <inkml:brushProperty name="width" value="0.05" units="cm"/>
      <inkml:brushProperty name="height" value="0.05" units="cm"/>
    </inkml:brush>
  </inkml:definitions>
  <inkml:trace contextRef="#ctx0" brushRef="#br0">-2147483648-2147483648 24575,'0'0'-8191</inkml:trace>
</inkml:ink>
</file>

<file path=xl/ink/ink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6"/>
    </inkml:context>
    <inkml:brush xml:id="br0">
      <inkml:brushProperty name="width" value="0.05" units="cm"/>
      <inkml:brushProperty name="height" value="0.05" units="cm"/>
    </inkml:brush>
  </inkml:definitions>
  <inkml:trace contextRef="#ctx0" brushRef="#br0">-2147483648-2147483648 24575,'0'0'-8191</inkml:trace>
</inkml:ink>
</file>

<file path=xl/ink/ink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7"/>
    </inkml:context>
    <inkml:brush xml:id="br0">
      <inkml:brushProperty name="width" value="0.05" units="cm"/>
      <inkml:brushProperty name="height" value="0.05" units="cm"/>
    </inkml:brush>
  </inkml:definitions>
  <inkml:trace contextRef="#ctx0" brushRef="#br0">-2147483648-2147483648 24575,'0'0'-8191</inkml:trace>
</inkml:ink>
</file>

<file path=xl/ink/ink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8"/>
    </inkml:context>
    <inkml:brush xml:id="br0">
      <inkml:brushProperty name="width" value="0.05" units="cm"/>
      <inkml:brushProperty name="height" value="0.05" units="cm"/>
    </inkml:brush>
  </inkml:definitions>
  <inkml:trace contextRef="#ctx0" brushRef="#br0">-2147483648-2147483648 24575,'0'0'-8191</inkml:trace>
</inkml:ink>
</file>

<file path=xl/ink/ink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89"/>
    </inkml:context>
    <inkml:brush xml:id="br0">
      <inkml:brushProperty name="width" value="0.05" units="cm"/>
      <inkml:brushProperty name="height" value="0.05" units="cm"/>
    </inkml:brush>
  </inkml:definitions>
  <inkml:trace contextRef="#ctx0" brushRef="#br0">-2147483648-2147483648 24575,'0'0'-8191</inkml:trace>
</inkml:ink>
</file>

<file path=xl/ink/ink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0"/>
    </inkml:context>
    <inkml:brush xml:id="br0">
      <inkml:brushProperty name="width" value="0.05" units="cm"/>
      <inkml:brushProperty name="height" value="0.05" units="cm"/>
    </inkml:brush>
  </inkml:definitions>
  <inkml:trace contextRef="#ctx0" brushRef="#br0">-2147483648-2147483648 24575,'0'0'-8191</inkml:trace>
</inkml:ink>
</file>

<file path=xl/ink/ink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1"/>
    </inkml:context>
    <inkml:brush xml:id="br0">
      <inkml:brushProperty name="width" value="0.05" units="cm"/>
      <inkml:brushProperty name="height" value="0.05" units="cm"/>
    </inkml:brush>
  </inkml:definitions>
  <inkml:trace contextRef="#ctx0" brushRef="#br0">-2147483648-2147483648 24575,'0'0'-8191</inkml:trace>
</inkml:ink>
</file>

<file path=xl/ink/ink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2"/>
    </inkml:context>
    <inkml:brush xml:id="br0">
      <inkml:brushProperty name="width" value="0.05" units="cm"/>
      <inkml:brushProperty name="height" value="0.05" units="cm"/>
    </inkml:brush>
  </inkml:definitions>
  <inkml:trace contextRef="#ctx0" brushRef="#br0">-2147483648-2147483648 24575,'0'0'-8191</inkml:trace>
</inkml:ink>
</file>

<file path=xl/ink/ink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3"/>
    </inkml:context>
    <inkml:brush xml:id="br0">
      <inkml:brushProperty name="width" value="0.05" units="cm"/>
      <inkml:brushProperty name="height" value="0.05" units="cm"/>
    </inkml:brush>
  </inkml:definitions>
  <inkml:trace contextRef="#ctx0" brushRef="#br0">-2147483648-2147483648 24575,'0'0'-8191</inkml:trace>
</inkml:ink>
</file>

<file path=xl/ink/ink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4"/>
    </inkml:context>
    <inkml:brush xml:id="br0">
      <inkml:brushProperty name="width" value="0.05" units="cm"/>
      <inkml:brushProperty name="height" value="0.05" units="cm"/>
    </inkml:brush>
  </inkml:definitions>
  <inkml:trace contextRef="#ctx0" brushRef="#br0">-2147483648-2147483648 24575,'0'0'-8191</inkml:trace>
</inkml:ink>
</file>

<file path=xl/ink/ink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5"/>
    </inkml:context>
    <inkml:brush xml:id="br0">
      <inkml:brushProperty name="width" value="0.05" units="cm"/>
      <inkml:brushProperty name="height" value="0.05" units="cm"/>
    </inkml:brush>
  </inkml:definitions>
  <inkml:trace contextRef="#ctx0" brushRef="#br0">-2147483648-2147483648 24575,'0'0'-8191</inkml:trace>
</inkml:ink>
</file>

<file path=xl/ink/ink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6"/>
    </inkml:context>
    <inkml:brush xml:id="br0">
      <inkml:brushProperty name="width" value="0.05" units="cm"/>
      <inkml:brushProperty name="height" value="0.05" units="cm"/>
    </inkml:brush>
  </inkml:definitions>
  <inkml:trace contextRef="#ctx0" brushRef="#br0">-2147483648-2147483648 24575,'0'0'-8191</inkml:trace>
</inkml:ink>
</file>

<file path=xl/ink/ink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7"/>
    </inkml:context>
    <inkml:brush xml:id="br0">
      <inkml:brushProperty name="width" value="0.05" units="cm"/>
      <inkml:brushProperty name="height" value="0.05" units="cm"/>
    </inkml:brush>
  </inkml:definitions>
  <inkml:trace contextRef="#ctx0" brushRef="#br0">-2147483648-2147483648 24575,'0'0'-8191</inkml:trace>
</inkml:ink>
</file>

<file path=xl/ink/ink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8"/>
    </inkml:context>
    <inkml:brush xml:id="br0">
      <inkml:brushProperty name="width" value="0.05" units="cm"/>
      <inkml:brushProperty name="height" value="0.05" units="cm"/>
    </inkml:brush>
  </inkml:definitions>
  <inkml:trace contextRef="#ctx0" brushRef="#br0">-2147483648-2147483648 24575,'0'0'-8191</inkml:trace>
</inkml:ink>
</file>

<file path=xl/ink/ink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2.999"/>
    </inkml:context>
    <inkml:brush xml:id="br0">
      <inkml:brushProperty name="width" value="0.05" units="cm"/>
      <inkml:brushProperty name="height" value="0.05" units="cm"/>
    </inkml:brush>
  </inkml:definitions>
  <inkml:trace contextRef="#ctx0" brushRef="#br0">-2147483648-2147483648 24575,'0'0'-8191</inkml:trace>
</inkml:ink>
</file>

<file path=xl/ink/ink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3"/>
    </inkml:context>
    <inkml:brush xml:id="br0">
      <inkml:brushProperty name="width" value="0.05" units="cm"/>
      <inkml:brushProperty name="height" value="0.05" units="cm"/>
    </inkml:brush>
  </inkml:definitions>
  <inkml:trace contextRef="#ctx0" brushRef="#br0">-2147483648-2147483648 24575,'0'0'-8191</inkml:trace>
</inkml:ink>
</file>

<file path=xl/ink/ink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3.001"/>
    </inkml:context>
    <inkml:brush xml:id="br0">
      <inkml:brushProperty name="width" value="0.05" units="cm"/>
      <inkml:brushProperty name="height" value="0.05" units="cm"/>
    </inkml:brush>
  </inkml:definitions>
  <inkml:trace contextRef="#ctx0" brushRef="#br0">-2147483648-2147483648 24575,'0'0'-8191</inkml:trace>
</inkml:ink>
</file>

<file path=xl/ink/ink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3.002"/>
    </inkml:context>
    <inkml:brush xml:id="br0">
      <inkml:brushProperty name="width" value="0.05" units="cm"/>
      <inkml:brushProperty name="height" value="0.05" units="cm"/>
    </inkml:brush>
  </inkml:definitions>
  <inkml:trace contextRef="#ctx0" brushRef="#br0">-2147483648-2147483648 24575,'0'0'-8191</inkml:trace>
</inkml:ink>
</file>

<file path=xl/ink/ink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3.003"/>
    </inkml:context>
    <inkml:brush xml:id="br0">
      <inkml:brushProperty name="width" value="0.05" units="cm"/>
      <inkml:brushProperty name="height" value="0.05" units="cm"/>
    </inkml:brush>
  </inkml:definitions>
  <inkml:trace contextRef="#ctx0" brushRef="#br0">-2147483648-2147483648 24575,'0'0'-8191</inkml:trace>
</inkml:ink>
</file>

<file path=xl/ink/ink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3.004"/>
    </inkml:context>
    <inkml:brush xml:id="br0">
      <inkml:brushProperty name="width" value="0.05" units="cm"/>
      <inkml:brushProperty name="height" value="0.05" units="cm"/>
    </inkml:brush>
  </inkml:definitions>
  <inkml:trace contextRef="#ctx0" brushRef="#br0">-2147483648-2147483648 24575,'0'0'-8191</inkml:trace>
</inkml:ink>
</file>

<file path=xl/ink/ink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3.005"/>
    </inkml:context>
    <inkml:brush xml:id="br0">
      <inkml:brushProperty name="width" value="0.05" units="cm"/>
      <inkml:brushProperty name="height" value="0.05" units="cm"/>
    </inkml:brush>
  </inkml:definitions>
  <inkml:trace contextRef="#ctx0" brushRef="#br0">-2147483648-2147483648 24575,'0'0'-8191</inkml:trace>
</inkml:ink>
</file>

<file path=xl/ink/ink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3.006"/>
    </inkml:context>
    <inkml:brush xml:id="br0">
      <inkml:brushProperty name="width" value="0.05" units="cm"/>
      <inkml:brushProperty name="height" value="0.05" units="cm"/>
    </inkml:brush>
  </inkml:definitions>
  <inkml:trace contextRef="#ctx0" brushRef="#br0">-2147483648-2147483648 24575,'0'0'-8191</inkml:trace>
</inkml:ink>
</file>

<file path=xl/ink/ink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3.007"/>
    </inkml:context>
    <inkml:brush xml:id="br0">
      <inkml:brushProperty name="width" value="0.05" units="cm"/>
      <inkml:brushProperty name="height" value="0.05" units="cm"/>
    </inkml:brush>
  </inkml:definitions>
  <inkml:trace contextRef="#ctx0" brushRef="#br0">-2147483648-2147483648 24575,'0'0'-8191</inkml:trace>
</inkml:ink>
</file>

<file path=xl/ink/ink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7:03.008"/>
    </inkml:context>
    <inkml:brush xml:id="br0">
      <inkml:brushProperty name="width" value="0.05" units="cm"/>
      <inkml:brushProperty name="height" value="0.05" units="cm"/>
    </inkml:brush>
  </inkml:definitions>
  <inkml:trace contextRef="#ctx0" brushRef="#br0">-2147483648-2147483648 24575,'0'0'-8191</inkml:trace>
</inkml:ink>
</file>

<file path=xl/ink/ink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37"/>
    </inkml:context>
    <inkml:brush xml:id="br0">
      <inkml:brushProperty name="width" value="0.05" units="cm"/>
      <inkml:brushProperty name="height" value="0.05" units="cm"/>
    </inkml:brush>
  </inkml:definitions>
  <inkml:trace contextRef="#ctx0" brushRef="#br0">0-2147483648 24575,'0'0'-8191</inkml:trace>
</inkml:ink>
</file>

<file path=xl/ink/ink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38"/>
    </inkml:context>
    <inkml:brush xml:id="br0">
      <inkml:brushProperty name="width" value="0.05" units="cm"/>
      <inkml:brushProperty name="height" value="0.05" units="cm"/>
    </inkml:brush>
  </inkml:definitions>
  <inkml:trace contextRef="#ctx0" brushRef="#br0">0-2147483648 24575,'0'0'-8191</inkml:trace>
</inkml:ink>
</file>

<file path=xl/ink/ink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39"/>
    </inkml:context>
    <inkml:brush xml:id="br0">
      <inkml:brushProperty name="width" value="0.05" units="cm"/>
      <inkml:brushProperty name="height" value="0.05" units="cm"/>
    </inkml:brush>
  </inkml:definitions>
  <inkml:trace contextRef="#ctx0" brushRef="#br0">0-2147483648 24575,'0'0'-8191</inkml:trace>
</inkml:ink>
</file>

<file path=xl/ink/ink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0"/>
    </inkml:context>
    <inkml:brush xml:id="br0">
      <inkml:brushProperty name="width" value="0.05" units="cm"/>
      <inkml:brushProperty name="height" value="0.05" units="cm"/>
    </inkml:brush>
  </inkml:definitions>
  <inkml:trace contextRef="#ctx0" brushRef="#br0">0-2147483648 24575,'0'0'-8191</inkml:trace>
</inkml:ink>
</file>

<file path=xl/ink/ink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1"/>
    </inkml:context>
    <inkml:brush xml:id="br0">
      <inkml:brushProperty name="width" value="0.05" units="cm"/>
      <inkml:brushProperty name="height" value="0.05" units="cm"/>
    </inkml:brush>
  </inkml:definitions>
  <inkml:trace contextRef="#ctx0" brushRef="#br0">0-2147483648 24575,'0'0'-8191</inkml:trace>
</inkml:ink>
</file>

<file path=xl/ink/ink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2"/>
    </inkml:context>
    <inkml:brush xml:id="br0">
      <inkml:brushProperty name="width" value="0.05" units="cm"/>
      <inkml:brushProperty name="height" value="0.05" units="cm"/>
    </inkml:brush>
  </inkml:definitions>
  <inkml:trace contextRef="#ctx0" brushRef="#br0">0-2147483648 24575,'0'0'-8191</inkml:trace>
</inkml:ink>
</file>

<file path=xl/ink/ink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3"/>
    </inkml:context>
    <inkml:brush xml:id="br0">
      <inkml:brushProperty name="width" value="0.05" units="cm"/>
      <inkml:brushProperty name="height" value="0.05" units="cm"/>
    </inkml:brush>
  </inkml:definitions>
  <inkml:trace contextRef="#ctx0" brushRef="#br0">0-2147483648 24575,'0'0'-8191</inkml:trace>
</inkml:ink>
</file>

<file path=xl/ink/ink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4"/>
    </inkml:context>
    <inkml:brush xml:id="br0">
      <inkml:brushProperty name="width" value="0.05" units="cm"/>
      <inkml:brushProperty name="height" value="0.05" units="cm"/>
    </inkml:brush>
  </inkml:definitions>
  <inkml:trace contextRef="#ctx0" brushRef="#br0">0-2147483648 24575,'0'0'-8191</inkml:trace>
</inkml:ink>
</file>

<file path=xl/ink/ink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5"/>
    </inkml:context>
    <inkml:brush xml:id="br0">
      <inkml:brushProperty name="width" value="0.05" units="cm"/>
      <inkml:brushProperty name="height" value="0.05" units="cm"/>
    </inkml:brush>
  </inkml:definitions>
  <inkml:trace contextRef="#ctx0" brushRef="#br0">0-2147483648 24575,'0'0'-8191</inkml:trace>
</inkml:ink>
</file>

<file path=xl/ink/ink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6"/>
    </inkml:context>
    <inkml:brush xml:id="br0">
      <inkml:brushProperty name="width" value="0.05" units="cm"/>
      <inkml:brushProperty name="height" value="0.05" units="cm"/>
    </inkml:brush>
  </inkml:definitions>
  <inkml:trace contextRef="#ctx0" brushRef="#br0">0-2147483648 24575,'0'0'-8191</inkml:trace>
</inkml:ink>
</file>

<file path=xl/ink/ink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7"/>
    </inkml:context>
    <inkml:brush xml:id="br0">
      <inkml:brushProperty name="width" value="0.05" units="cm"/>
      <inkml:brushProperty name="height" value="0.05" units="cm"/>
    </inkml:brush>
  </inkml:definitions>
  <inkml:trace contextRef="#ctx0" brushRef="#br0">0-2147483648 24575,'0'0'-8191</inkml:trace>
</inkml:ink>
</file>

<file path=xl/ink/ink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8"/>
    </inkml:context>
    <inkml:brush xml:id="br0">
      <inkml:brushProperty name="width" value="0.05" units="cm"/>
      <inkml:brushProperty name="height" value="0.05" units="cm"/>
    </inkml:brush>
  </inkml:definitions>
  <inkml:trace contextRef="#ctx0" brushRef="#br0">0-2147483648 24575,'0'0'-8191</inkml:trace>
</inkml:ink>
</file>

<file path=xl/ink/ink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49"/>
    </inkml:context>
    <inkml:brush xml:id="br0">
      <inkml:brushProperty name="width" value="0.05" units="cm"/>
      <inkml:brushProperty name="height" value="0.05" units="cm"/>
    </inkml:brush>
  </inkml:definitions>
  <inkml:trace contextRef="#ctx0" brushRef="#br0">0-2147483648 24575,'0'0'-8191</inkml:trace>
</inkml:ink>
</file>

<file path=xl/ink/ink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0"/>
    </inkml:context>
    <inkml:brush xml:id="br0">
      <inkml:brushProperty name="width" value="0.05" units="cm"/>
      <inkml:brushProperty name="height" value="0.05" units="cm"/>
    </inkml:brush>
  </inkml:definitions>
  <inkml:trace contextRef="#ctx0" brushRef="#br0">0-2147483648 24575,'0'0'-8191</inkml:trace>
</inkml:ink>
</file>

<file path=xl/ink/ink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1"/>
    </inkml:context>
    <inkml:brush xml:id="br0">
      <inkml:brushProperty name="width" value="0.05" units="cm"/>
      <inkml:brushProperty name="height" value="0.05" units="cm"/>
    </inkml:brush>
  </inkml:definitions>
  <inkml:trace contextRef="#ctx0" brushRef="#br0">0-2147483648 24575,'0'0'-8191</inkml:trace>
</inkml:ink>
</file>

<file path=xl/ink/ink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2"/>
    </inkml:context>
    <inkml:brush xml:id="br0">
      <inkml:brushProperty name="width" value="0.05" units="cm"/>
      <inkml:brushProperty name="height" value="0.05" units="cm"/>
    </inkml:brush>
  </inkml:definitions>
  <inkml:trace contextRef="#ctx0" brushRef="#br0">0-2147483648 24575,'0'0'-8191</inkml:trace>
</inkml:ink>
</file>

<file path=xl/ink/ink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3"/>
    </inkml:context>
    <inkml:brush xml:id="br0">
      <inkml:brushProperty name="width" value="0.05" units="cm"/>
      <inkml:brushProperty name="height" value="0.05" units="cm"/>
    </inkml:brush>
  </inkml:definitions>
  <inkml:trace contextRef="#ctx0" brushRef="#br0">0-2147483648 24575,'0'0'-8191</inkml:trace>
</inkml:ink>
</file>

<file path=xl/ink/ink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4"/>
    </inkml:context>
    <inkml:brush xml:id="br0">
      <inkml:brushProperty name="width" value="0.05" units="cm"/>
      <inkml:brushProperty name="height" value="0.05" units="cm"/>
    </inkml:brush>
  </inkml:definitions>
  <inkml:trace contextRef="#ctx0" brushRef="#br0">0-2147483648 24575,'0'0'-8191</inkml:trace>
</inkml:ink>
</file>

<file path=xl/ink/ink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5"/>
    </inkml:context>
    <inkml:brush xml:id="br0">
      <inkml:brushProperty name="width" value="0.05" units="cm"/>
      <inkml:brushProperty name="height" value="0.05" units="cm"/>
    </inkml:brush>
  </inkml:definitions>
  <inkml:trace contextRef="#ctx0" brushRef="#br0">0-2147483648 24575,'0'0'-8191</inkml:trace>
</inkml:ink>
</file>

<file path=xl/ink/ink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6"/>
    </inkml:context>
    <inkml:brush xml:id="br0">
      <inkml:brushProperty name="width" value="0.05" units="cm"/>
      <inkml:brushProperty name="height" value="0.05" units="cm"/>
    </inkml:brush>
  </inkml:definitions>
  <inkml:trace contextRef="#ctx0" brushRef="#br0">0-2147483648 24575,'0'0'-8191</inkml:trace>
</inkml:ink>
</file>

<file path=xl/ink/ink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7"/>
    </inkml:context>
    <inkml:brush xml:id="br0">
      <inkml:brushProperty name="width" value="0.05" units="cm"/>
      <inkml:brushProperty name="height" value="0.05" units="cm"/>
    </inkml:brush>
  </inkml:definitions>
  <inkml:trace contextRef="#ctx0" brushRef="#br0">0-2147483648 24575,'0'0'-8191</inkml:trace>
</inkml:ink>
</file>

<file path=xl/ink/ink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8"/>
    </inkml:context>
    <inkml:brush xml:id="br0">
      <inkml:brushProperty name="width" value="0.05" units="cm"/>
      <inkml:brushProperty name="height" value="0.05" units="cm"/>
    </inkml:brush>
  </inkml:definitions>
  <inkml:trace contextRef="#ctx0" brushRef="#br0">0-2147483648 24575,'0'0'-8191</inkml:trace>
</inkml:ink>
</file>

<file path=xl/ink/ink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59"/>
    </inkml:context>
    <inkml:brush xml:id="br0">
      <inkml:brushProperty name="width" value="0.05" units="cm"/>
      <inkml:brushProperty name="height" value="0.05" units="cm"/>
    </inkml:brush>
  </inkml:definitions>
  <inkml:trace contextRef="#ctx0" brushRef="#br0">0-2147483648 24575,'0'0'-8191</inkml:trace>
</inkml:ink>
</file>

<file path=xl/ink/ink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0"/>
    </inkml:context>
    <inkml:brush xml:id="br0">
      <inkml:brushProperty name="width" value="0.05" units="cm"/>
      <inkml:brushProperty name="height" value="0.05" units="cm"/>
    </inkml:brush>
  </inkml:definitions>
  <inkml:trace contextRef="#ctx0" brushRef="#br0">0-2147483648 24575,'0'0'-8191</inkml:trace>
</inkml:ink>
</file>

<file path=xl/ink/ink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1"/>
    </inkml:context>
    <inkml:brush xml:id="br0">
      <inkml:brushProperty name="width" value="0.05" units="cm"/>
      <inkml:brushProperty name="height" value="0.05" units="cm"/>
    </inkml:brush>
  </inkml:definitions>
  <inkml:trace contextRef="#ctx0" brushRef="#br0">0-2147483648 24575,'0'0'-8191</inkml:trace>
</inkml:ink>
</file>

<file path=xl/ink/ink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2"/>
    </inkml:context>
    <inkml:brush xml:id="br0">
      <inkml:brushProperty name="width" value="0.05" units="cm"/>
      <inkml:brushProperty name="height" value="0.05" units="cm"/>
    </inkml:brush>
  </inkml:definitions>
  <inkml:trace contextRef="#ctx0" brushRef="#br0">0-2147483648 24575,'0'0'-8191</inkml:trace>
</inkml:ink>
</file>

<file path=xl/ink/ink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3"/>
    </inkml:context>
    <inkml:brush xml:id="br0">
      <inkml:brushProperty name="width" value="0.05" units="cm"/>
      <inkml:brushProperty name="height" value="0.05" units="cm"/>
    </inkml:brush>
  </inkml:definitions>
  <inkml:trace contextRef="#ctx0" brushRef="#br0">0-2147483648 24575,'0'0'-8191</inkml:trace>
</inkml:ink>
</file>

<file path=xl/ink/ink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4"/>
    </inkml:context>
    <inkml:brush xml:id="br0">
      <inkml:brushProperty name="width" value="0.05" units="cm"/>
      <inkml:brushProperty name="height" value="0.05" units="cm"/>
    </inkml:brush>
  </inkml:definitions>
  <inkml:trace contextRef="#ctx0" brushRef="#br0">0-2147483648 24575,'0'0'-8191</inkml:trace>
</inkml:ink>
</file>

<file path=xl/ink/ink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5"/>
    </inkml:context>
    <inkml:brush xml:id="br0">
      <inkml:brushProperty name="width" value="0.05" units="cm"/>
      <inkml:brushProperty name="height" value="0.05" units="cm"/>
    </inkml:brush>
  </inkml:definitions>
  <inkml:trace contextRef="#ctx0" brushRef="#br0">0-2147483648 24575,'0'0'-8191</inkml:trace>
</inkml:ink>
</file>

<file path=xl/ink/ink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6"/>
    </inkml:context>
    <inkml:brush xml:id="br0">
      <inkml:brushProperty name="width" value="0.05" units="cm"/>
      <inkml:brushProperty name="height" value="0.05" units="cm"/>
    </inkml:brush>
  </inkml:definitions>
  <inkml:trace contextRef="#ctx0" brushRef="#br0">0-2147483648 24575,'0'0'-8191</inkml:trace>
</inkml:ink>
</file>

<file path=xl/ink/ink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7"/>
    </inkml:context>
    <inkml:brush xml:id="br0">
      <inkml:brushProperty name="width" value="0.05" units="cm"/>
      <inkml:brushProperty name="height" value="0.05" units="cm"/>
    </inkml:brush>
  </inkml:definitions>
  <inkml:trace contextRef="#ctx0" brushRef="#br0">0-2147483648 24575,'0'0'-8191</inkml:trace>
</inkml:ink>
</file>

<file path=xl/ink/ink3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8"/>
    </inkml:context>
    <inkml:brush xml:id="br0">
      <inkml:brushProperty name="width" value="0.05" units="cm"/>
      <inkml:brushProperty name="height" value="0.05" units="cm"/>
    </inkml:brush>
  </inkml:definitions>
  <inkml:trace contextRef="#ctx0" brushRef="#br0">0-2147483648 24575,'0'0'-8191</inkml:trace>
</inkml:ink>
</file>

<file path=xl/ink/ink3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69"/>
    </inkml:context>
    <inkml:brush xml:id="br0">
      <inkml:brushProperty name="width" value="0.05" units="cm"/>
      <inkml:brushProperty name="height" value="0.05" units="cm"/>
    </inkml:brush>
  </inkml:definitions>
  <inkml:trace contextRef="#ctx0" brushRef="#br0">0-2147483648 24575,'0'0'-8191</inkml:trace>
</inkml:ink>
</file>

<file path=xl/ink/ink3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0"/>
    </inkml:context>
    <inkml:brush xml:id="br0">
      <inkml:brushProperty name="width" value="0.05" units="cm"/>
      <inkml:brushProperty name="height" value="0.05" units="cm"/>
    </inkml:brush>
  </inkml:definitions>
  <inkml:trace contextRef="#ctx0" brushRef="#br0">0-2147483648 24575,'0'0'-8191</inkml:trace>
</inkml:ink>
</file>

<file path=xl/ink/ink3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1"/>
    </inkml:context>
    <inkml:brush xml:id="br0">
      <inkml:brushProperty name="width" value="0.05" units="cm"/>
      <inkml:brushProperty name="height" value="0.05" units="cm"/>
    </inkml:brush>
  </inkml:definitions>
  <inkml:trace contextRef="#ctx0" brushRef="#br0">0-2147483648 24575,'0'0'-8191</inkml:trace>
</inkml:ink>
</file>

<file path=xl/ink/ink3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2"/>
    </inkml:context>
    <inkml:brush xml:id="br0">
      <inkml:brushProperty name="width" value="0.05" units="cm"/>
      <inkml:brushProperty name="height" value="0.05" units="cm"/>
    </inkml:brush>
  </inkml:definitions>
  <inkml:trace contextRef="#ctx0" brushRef="#br0">0-2147483648 24575,'0'0'-8191</inkml:trace>
</inkml:ink>
</file>

<file path=xl/ink/ink3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3"/>
    </inkml:context>
    <inkml:brush xml:id="br0">
      <inkml:brushProperty name="width" value="0.05" units="cm"/>
      <inkml:brushProperty name="height" value="0.05" units="cm"/>
    </inkml:brush>
  </inkml:definitions>
  <inkml:trace contextRef="#ctx0" brushRef="#br0">0-2147483648 24575,'0'0'-8191</inkml:trace>
</inkml:ink>
</file>

<file path=xl/ink/ink3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4"/>
    </inkml:context>
    <inkml:brush xml:id="br0">
      <inkml:brushProperty name="width" value="0.05" units="cm"/>
      <inkml:brushProperty name="height" value="0.05" units="cm"/>
    </inkml:brush>
  </inkml:definitions>
  <inkml:trace contextRef="#ctx0" brushRef="#br0">0-2147483648 24575,'0'0'-8191</inkml:trace>
</inkml:ink>
</file>

<file path=xl/ink/ink3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5"/>
    </inkml:context>
    <inkml:brush xml:id="br0">
      <inkml:brushProperty name="width" value="0.05" units="cm"/>
      <inkml:brushProperty name="height" value="0.05" units="cm"/>
    </inkml:brush>
  </inkml:definitions>
  <inkml:trace contextRef="#ctx0" brushRef="#br0">0-2147483648 24575,'0'0'-8191</inkml:trace>
</inkml:ink>
</file>

<file path=xl/ink/ink3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6"/>
    </inkml:context>
    <inkml:brush xml:id="br0">
      <inkml:brushProperty name="width" value="0.05" units="cm"/>
      <inkml:brushProperty name="height" value="0.05" units="cm"/>
    </inkml:brush>
  </inkml:definitions>
  <inkml:trace contextRef="#ctx0" brushRef="#br0">0-2147483648 24575,'0'0'-8191</inkml:trace>
</inkml:ink>
</file>

<file path=xl/ink/ink3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7"/>
    </inkml:context>
    <inkml:brush xml:id="br0">
      <inkml:brushProperty name="width" value="0.05" units="cm"/>
      <inkml:brushProperty name="height" value="0.05" units="cm"/>
    </inkml:brush>
  </inkml:definitions>
  <inkml:trace contextRef="#ctx0" brushRef="#br0">0-2147483648 24575,'0'0'-8191</inkml:trace>
</inkml:ink>
</file>

<file path=xl/ink/ink3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8"/>
    </inkml:context>
    <inkml:brush xml:id="br0">
      <inkml:brushProperty name="width" value="0.05" units="cm"/>
      <inkml:brushProperty name="height" value="0.05" units="cm"/>
    </inkml:brush>
  </inkml:definitions>
  <inkml:trace contextRef="#ctx0" brushRef="#br0">0-2147483648 24575,'0'0'-8191</inkml:trace>
</inkml:ink>
</file>

<file path=xl/ink/ink3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79"/>
    </inkml:context>
    <inkml:brush xml:id="br0">
      <inkml:brushProperty name="width" value="0.05" units="cm"/>
      <inkml:brushProperty name="height" value="0.05" units="cm"/>
    </inkml:brush>
  </inkml:definitions>
  <inkml:trace contextRef="#ctx0" brushRef="#br0">0-2147483648 24575,'0'0'-8191</inkml:trace>
</inkml:ink>
</file>

<file path=xl/ink/ink3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80"/>
    </inkml:context>
    <inkml:brush xml:id="br0">
      <inkml:brushProperty name="width" value="0.05" units="cm"/>
      <inkml:brushProperty name="height" value="0.05" units="cm"/>
    </inkml:brush>
  </inkml:definitions>
  <inkml:trace contextRef="#ctx0" brushRef="#br0">0-2147483648 24575,'0'0'-8191</inkml:trace>
</inkml:ink>
</file>

<file path=xl/ink/ink3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81"/>
    </inkml:context>
    <inkml:brush xml:id="br0">
      <inkml:brushProperty name="width" value="0.05" units="cm"/>
      <inkml:brushProperty name="height" value="0.05" units="cm"/>
    </inkml:brush>
  </inkml:definitions>
  <inkml:trace contextRef="#ctx0" brushRef="#br0">0-2147483648 24575,'0'0'-8191</inkml:trace>
</inkml:ink>
</file>

<file path=xl/ink/ink3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82"/>
    </inkml:context>
    <inkml:brush xml:id="br0">
      <inkml:brushProperty name="width" value="0.05" units="cm"/>
      <inkml:brushProperty name="height" value="0.05" units="cm"/>
    </inkml:brush>
  </inkml:definitions>
  <inkml:trace contextRef="#ctx0" brushRef="#br0">0-2147483648 24575,'0'0'-8191</inkml:trace>
</inkml:ink>
</file>

<file path=xl/ink/ink3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83"/>
    </inkml:context>
    <inkml:brush xml:id="br0">
      <inkml:brushProperty name="width" value="0.05" units="cm"/>
      <inkml:brushProperty name="height" value="0.05" units="cm"/>
    </inkml:brush>
  </inkml:definitions>
  <inkml:trace contextRef="#ctx0" brushRef="#br0">0-2147483648 24575,'0'0'-8191</inkml:trace>
</inkml:ink>
</file>

<file path=xl/ink/ink3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8:17:58.284"/>
    </inkml:context>
    <inkml:brush xml:id="br0">
      <inkml:brushProperty name="width" value="0.05" units="cm"/>
      <inkml:brushProperty name="height" value="0.05" units="cm"/>
    </inkml:brush>
  </inkml:definitions>
  <inkml:trace contextRef="#ctx0" brushRef="#br0">0-2147483648 24575,'0'0'-8191</inkml:trace>
</inkml:ink>
</file>

<file path=xl/ink/ink3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4:41.529"/>
    </inkml:context>
    <inkml:brush xml:id="br0">
      <inkml:brushProperty name="width" value="0.05" units="cm"/>
      <inkml:brushProperty name="height" value="0.05" units="cm"/>
    </inkml:brush>
  </inkml:definitions>
  <inkml:trace contextRef="#ctx0" brushRef="#br0">0-2147483648 24575,'0'0'-8191</inkml:trace>
</inkml:ink>
</file>

<file path=xl/ink/ink3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4:41.530"/>
    </inkml:context>
    <inkml:brush xml:id="br0">
      <inkml:brushProperty name="width" value="0.05" units="cm"/>
      <inkml:brushProperty name="height" value="0.05" units="cm"/>
    </inkml:brush>
  </inkml:definitions>
  <inkml:trace contextRef="#ctx0" brushRef="#br0">0-2147483648 24575,'0'0'-8191</inkml:trace>
</inkml:ink>
</file>

<file path=xl/ink/ink3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4:41.531"/>
    </inkml:context>
    <inkml:brush xml:id="br0">
      <inkml:brushProperty name="width" value="0.05" units="cm"/>
      <inkml:brushProperty name="height" value="0.05" units="cm"/>
    </inkml:brush>
  </inkml:definitions>
  <inkml:trace contextRef="#ctx0" brushRef="#br0">0-2147483648 24575,'0'0'-8191</inkml:trace>
</inkml:ink>
</file>

<file path=xl/ink/ink3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7T04:14:41.532"/>
    </inkml:context>
    <inkml:brush xml:id="br0">
      <inkml:brushProperty name="width" value="0.05" units="cm"/>
      <inkml:brushProperty name="height" value="0.05" units="cm"/>
    </inkml:brush>
  </inkml:definitions>
  <inkml:trace contextRef="#ctx0" brushRef="#br0">0-2147483648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141"/>
  <sheetViews>
    <sheetView topLeftCell="A125" workbookViewId="0">
      <selection activeCell="H131" sqref="H131"/>
    </sheetView>
  </sheetViews>
  <sheetFormatPr defaultRowHeight="15"/>
  <cols>
    <col min="1" max="1" width="6.28515625" customWidth="1"/>
    <col min="2" max="2" width="16.140625" customWidth="1"/>
    <col min="3" max="3" width="17.28515625" customWidth="1"/>
    <col min="4" max="4" width="42.85546875" style="6" customWidth="1"/>
    <col min="5" max="5" width="7.85546875" customWidth="1"/>
    <col min="6" max="6" width="21.85546875" style="6" customWidth="1"/>
    <col min="7" max="7" width="26.28515625" customWidth="1"/>
    <col min="8" max="8" width="39.7109375" customWidth="1"/>
    <col min="9" max="9" width="17" customWidth="1"/>
    <col min="10" max="10" width="15.28515625" customWidth="1"/>
  </cols>
  <sheetData>
    <row r="1" spans="1:9" ht="21">
      <c r="A1" s="255" t="s">
        <v>55</v>
      </c>
      <c r="B1" s="256"/>
      <c r="C1" s="256"/>
      <c r="D1" s="256"/>
      <c r="E1" s="256"/>
      <c r="F1" s="256"/>
      <c r="G1" s="256"/>
    </row>
    <row r="2" spans="1:9" ht="15.75">
      <c r="A2" s="257" t="s">
        <v>56</v>
      </c>
      <c r="B2" s="257"/>
      <c r="C2" s="257"/>
      <c r="D2" s="257"/>
      <c r="E2" s="257"/>
      <c r="F2" s="257"/>
      <c r="G2" s="257"/>
    </row>
    <row r="3" spans="1:9" s="7" customFormat="1" ht="48" customHeight="1">
      <c r="A3" s="2" t="s">
        <v>0</v>
      </c>
      <c r="B3" s="2" t="s">
        <v>10</v>
      </c>
      <c r="C3" s="2" t="s">
        <v>11</v>
      </c>
      <c r="D3" s="3" t="s">
        <v>54</v>
      </c>
      <c r="E3" s="2" t="s">
        <v>59</v>
      </c>
      <c r="F3" s="3" t="s">
        <v>1473</v>
      </c>
      <c r="G3" s="2" t="s">
        <v>57</v>
      </c>
      <c r="H3" s="6"/>
      <c r="I3" s="6"/>
    </row>
    <row r="4" spans="1:9" ht="105">
      <c r="A4" s="251" t="s">
        <v>1</v>
      </c>
      <c r="B4" s="252" t="s">
        <v>16</v>
      </c>
      <c r="C4" s="8" t="s">
        <v>16</v>
      </c>
      <c r="D4" s="8" t="s">
        <v>72</v>
      </c>
      <c r="E4" s="5">
        <v>2</v>
      </c>
      <c r="F4" s="5" t="s">
        <v>1485</v>
      </c>
      <c r="G4" s="5" t="s">
        <v>79</v>
      </c>
      <c r="H4" s="4"/>
      <c r="I4" s="4"/>
    </row>
    <row r="5" spans="1:9" ht="11.25" customHeight="1">
      <c r="A5" s="251"/>
      <c r="B5" s="253"/>
      <c r="C5" s="8" t="s">
        <v>17</v>
      </c>
      <c r="D5" s="8"/>
      <c r="E5" s="5"/>
      <c r="F5" s="5"/>
      <c r="G5" s="5"/>
      <c r="H5" s="4"/>
      <c r="I5" s="4"/>
    </row>
    <row r="6" spans="1:9" ht="80.25" customHeight="1">
      <c r="A6" s="251"/>
      <c r="B6" s="253"/>
      <c r="C6" s="247" t="s">
        <v>18</v>
      </c>
      <c r="D6" s="8" t="s">
        <v>786</v>
      </c>
      <c r="E6" s="5">
        <v>12</v>
      </c>
      <c r="F6" s="6" t="s">
        <v>1403</v>
      </c>
      <c r="G6" s="5" t="s">
        <v>787</v>
      </c>
      <c r="H6" s="4" t="s">
        <v>1403</v>
      </c>
      <c r="I6" s="7" t="s">
        <v>1398</v>
      </c>
    </row>
    <row r="7" spans="1:9" ht="60">
      <c r="A7" s="251"/>
      <c r="B7" s="253"/>
      <c r="C7" s="247"/>
      <c r="D7" s="8" t="s">
        <v>118</v>
      </c>
      <c r="E7" s="5">
        <v>2</v>
      </c>
      <c r="F7" s="5" t="s">
        <v>1506</v>
      </c>
      <c r="G7" s="5" t="s">
        <v>92</v>
      </c>
      <c r="H7" s="4"/>
      <c r="I7" s="4"/>
    </row>
    <row r="8" spans="1:9" ht="64.5" customHeight="1">
      <c r="A8" s="251"/>
      <c r="B8" s="253"/>
      <c r="C8" s="247"/>
      <c r="D8" s="8" t="s">
        <v>65</v>
      </c>
      <c r="E8" s="5">
        <v>2</v>
      </c>
      <c r="F8" s="5" t="s">
        <v>1506</v>
      </c>
      <c r="G8" s="5" t="s">
        <v>119</v>
      </c>
      <c r="H8" s="4"/>
      <c r="I8" s="4"/>
    </row>
    <row r="9" spans="1:9" ht="30.75" customHeight="1">
      <c r="A9" s="251"/>
      <c r="B9" s="253"/>
      <c r="C9" s="247"/>
      <c r="D9" s="8" t="s">
        <v>102</v>
      </c>
      <c r="E9" s="5">
        <v>0.1</v>
      </c>
      <c r="F9" s="5" t="s">
        <v>1116</v>
      </c>
      <c r="G9" s="61" t="s">
        <v>1503</v>
      </c>
      <c r="H9" s="4"/>
      <c r="I9" s="4"/>
    </row>
    <row r="10" spans="1:9" ht="58.5" customHeight="1">
      <c r="A10" s="251"/>
      <c r="B10" s="253"/>
      <c r="C10" s="247"/>
      <c r="D10" s="8" t="s">
        <v>84</v>
      </c>
      <c r="E10" s="5">
        <v>0.1</v>
      </c>
      <c r="F10" s="5" t="s">
        <v>1485</v>
      </c>
      <c r="G10" s="44" t="s">
        <v>958</v>
      </c>
      <c r="H10" s="4"/>
      <c r="I10" s="4"/>
    </row>
    <row r="11" spans="1:9" ht="29.25" customHeight="1">
      <c r="A11" s="251"/>
      <c r="B11" s="253"/>
      <c r="C11" s="247"/>
      <c r="D11" s="11" t="s">
        <v>126</v>
      </c>
      <c r="E11" s="17">
        <v>2</v>
      </c>
      <c r="F11" s="17" t="s">
        <v>1418</v>
      </c>
      <c r="G11" s="13" t="s">
        <v>92</v>
      </c>
      <c r="H11" s="4"/>
      <c r="I11" s="4"/>
    </row>
    <row r="12" spans="1:9" ht="77.25" customHeight="1">
      <c r="A12" s="251"/>
      <c r="B12" s="253"/>
      <c r="C12" s="258" t="s">
        <v>19</v>
      </c>
      <c r="D12" s="8" t="s">
        <v>80</v>
      </c>
      <c r="E12" s="5">
        <v>0.8</v>
      </c>
      <c r="F12" s="6" t="s">
        <v>1403</v>
      </c>
      <c r="G12" s="5" t="s">
        <v>1479</v>
      </c>
      <c r="H12" s="6" t="s">
        <v>1403</v>
      </c>
      <c r="I12" s="7" t="s">
        <v>1398</v>
      </c>
    </row>
    <row r="13" spans="1:9" ht="30">
      <c r="A13" s="251"/>
      <c r="B13" s="254"/>
      <c r="C13" s="259"/>
      <c r="D13" s="5" t="s">
        <v>1424</v>
      </c>
      <c r="E13" s="9">
        <v>0.22</v>
      </c>
      <c r="F13" s="5" t="s">
        <v>115</v>
      </c>
      <c r="G13" s="5" t="s">
        <v>787</v>
      </c>
      <c r="H13" s="4"/>
      <c r="I13" s="4"/>
    </row>
    <row r="14" spans="1:9" ht="15" customHeight="1">
      <c r="A14" s="28"/>
      <c r="B14" s="28"/>
      <c r="C14" s="28" t="s">
        <v>12</v>
      </c>
      <c r="D14" s="28"/>
      <c r="E14" s="5">
        <f>SUM(E4:E13)</f>
        <v>21.220000000000002</v>
      </c>
      <c r="F14" s="5"/>
      <c r="G14" s="5"/>
      <c r="H14" s="4"/>
      <c r="I14" s="4"/>
    </row>
    <row r="15" spans="1:9" ht="105">
      <c r="A15" s="248" t="s">
        <v>2</v>
      </c>
      <c r="B15" s="252" t="s">
        <v>20</v>
      </c>
      <c r="C15" s="244" t="s">
        <v>20</v>
      </c>
      <c r="D15" s="8" t="s">
        <v>70</v>
      </c>
      <c r="E15" s="5">
        <v>2</v>
      </c>
      <c r="F15" s="5" t="s">
        <v>1485</v>
      </c>
      <c r="G15" s="44" t="s">
        <v>958</v>
      </c>
      <c r="H15" s="4"/>
      <c r="I15" s="4"/>
    </row>
    <row r="16" spans="1:9" ht="105">
      <c r="A16" s="249"/>
      <c r="B16" s="253"/>
      <c r="C16" s="245"/>
      <c r="D16" s="8" t="s">
        <v>71</v>
      </c>
      <c r="E16" s="5">
        <v>2</v>
      </c>
      <c r="F16" s="5" t="s">
        <v>1485</v>
      </c>
      <c r="G16" s="44" t="s">
        <v>958</v>
      </c>
      <c r="H16" s="4"/>
      <c r="I16" s="4"/>
    </row>
    <row r="17" spans="1:9" ht="105">
      <c r="A17" s="249"/>
      <c r="B17" s="253"/>
      <c r="C17" s="245"/>
      <c r="D17" s="8" t="s">
        <v>74</v>
      </c>
      <c r="E17" s="5">
        <v>1</v>
      </c>
      <c r="F17" s="5" t="s">
        <v>1485</v>
      </c>
      <c r="G17" s="5" t="s">
        <v>79</v>
      </c>
      <c r="H17" s="4"/>
      <c r="I17" s="4"/>
    </row>
    <row r="18" spans="1:9" ht="30">
      <c r="A18" s="249"/>
      <c r="B18" s="253"/>
      <c r="C18" s="245"/>
      <c r="D18" s="8" t="s">
        <v>100</v>
      </c>
      <c r="E18" s="5">
        <v>0.2</v>
      </c>
      <c r="F18" s="5" t="s">
        <v>1116</v>
      </c>
      <c r="G18" s="61" t="s">
        <v>1503</v>
      </c>
      <c r="H18" s="4"/>
      <c r="I18" s="4"/>
    </row>
    <row r="19" spans="1:9" ht="47.25">
      <c r="A19" s="249"/>
      <c r="B19" s="253"/>
      <c r="C19" s="245"/>
      <c r="D19" s="20" t="s">
        <v>141</v>
      </c>
      <c r="E19" s="5">
        <v>0.5</v>
      </c>
      <c r="F19" s="5" t="s">
        <v>1344</v>
      </c>
      <c r="G19" s="21" t="s">
        <v>92</v>
      </c>
      <c r="H19" s="4"/>
      <c r="I19" s="4"/>
    </row>
    <row r="20" spans="1:9" ht="31.5">
      <c r="A20" s="249"/>
      <c r="B20" s="253"/>
      <c r="C20" s="245"/>
      <c r="D20" s="20" t="s">
        <v>142</v>
      </c>
      <c r="E20" s="5">
        <v>2</v>
      </c>
      <c r="F20" s="5" t="s">
        <v>1344</v>
      </c>
      <c r="G20" s="21" t="s">
        <v>92</v>
      </c>
      <c r="H20" s="4"/>
      <c r="I20" s="4"/>
    </row>
    <row r="21" spans="1:9" ht="30">
      <c r="A21" s="249"/>
      <c r="B21" s="253"/>
      <c r="C21" s="246"/>
      <c r="D21" s="7" t="s">
        <v>1511</v>
      </c>
      <c r="E21" s="7">
        <v>1.43</v>
      </c>
      <c r="F21" s="29" t="s">
        <v>1510</v>
      </c>
      <c r="G21" s="29" t="s">
        <v>1510</v>
      </c>
      <c r="H21" s="4"/>
      <c r="I21" s="4"/>
    </row>
    <row r="22" spans="1:9" ht="75">
      <c r="A22" s="249"/>
      <c r="B22" s="253"/>
      <c r="C22" s="244" t="s">
        <v>21</v>
      </c>
      <c r="D22" s="8" t="s">
        <v>113</v>
      </c>
      <c r="E22" s="5">
        <v>1.5</v>
      </c>
      <c r="F22" s="4" t="s">
        <v>1397</v>
      </c>
      <c r="G22" s="169" t="s">
        <v>92</v>
      </c>
      <c r="H22" s="4" t="s">
        <v>1397</v>
      </c>
      <c r="I22" s="4" t="s">
        <v>1398</v>
      </c>
    </row>
    <row r="23" spans="1:9" ht="105">
      <c r="A23" s="249"/>
      <c r="B23" s="253"/>
      <c r="C23" s="245"/>
      <c r="D23" s="8" t="s">
        <v>140</v>
      </c>
      <c r="E23" s="5">
        <v>1</v>
      </c>
      <c r="F23" s="5" t="s">
        <v>1485</v>
      </c>
      <c r="G23" s="5" t="s">
        <v>79</v>
      </c>
      <c r="H23" s="4"/>
      <c r="I23" s="4"/>
    </row>
    <row r="24" spans="1:9" ht="75">
      <c r="A24" s="249"/>
      <c r="B24" s="253"/>
      <c r="C24" s="246"/>
      <c r="D24" s="16" t="s">
        <v>130</v>
      </c>
      <c r="E24" s="13">
        <v>2</v>
      </c>
      <c r="F24" s="5" t="s">
        <v>1418</v>
      </c>
      <c r="G24" s="13" t="s">
        <v>92</v>
      </c>
      <c r="H24" s="4"/>
      <c r="I24" s="4"/>
    </row>
    <row r="25" spans="1:9">
      <c r="A25" s="249"/>
      <c r="B25" s="253"/>
      <c r="C25" s="8" t="s">
        <v>22</v>
      </c>
      <c r="D25" s="8"/>
      <c r="E25" s="5"/>
      <c r="F25" s="5"/>
      <c r="G25" s="5"/>
      <c r="H25" s="4"/>
      <c r="I25" s="4"/>
    </row>
    <row r="26" spans="1:9" ht="75">
      <c r="A26" s="249"/>
      <c r="B26" s="253"/>
      <c r="C26" s="247" t="s">
        <v>23</v>
      </c>
      <c r="D26" s="8" t="s">
        <v>61</v>
      </c>
      <c r="E26" s="5">
        <v>42</v>
      </c>
      <c r="F26" s="4" t="s">
        <v>1403</v>
      </c>
      <c r="G26" s="5" t="s">
        <v>115</v>
      </c>
      <c r="H26" s="4" t="s">
        <v>1403</v>
      </c>
      <c r="I26" s="7" t="s">
        <v>1398</v>
      </c>
    </row>
    <row r="27" spans="1:9" ht="105">
      <c r="A27" s="249"/>
      <c r="B27" s="253"/>
      <c r="C27" s="247"/>
      <c r="D27" s="8" t="s">
        <v>73</v>
      </c>
      <c r="E27" s="5">
        <v>1.5</v>
      </c>
      <c r="F27" s="5" t="s">
        <v>1485</v>
      </c>
      <c r="G27" s="5" t="s">
        <v>79</v>
      </c>
      <c r="H27" s="4"/>
      <c r="I27" s="7"/>
    </row>
    <row r="28" spans="1:9" ht="30">
      <c r="A28" s="250"/>
      <c r="B28" s="254"/>
      <c r="C28" s="247"/>
      <c r="D28" s="7" t="s">
        <v>1509</v>
      </c>
      <c r="E28" s="115">
        <v>1.46</v>
      </c>
      <c r="F28" s="115" t="s">
        <v>1510</v>
      </c>
      <c r="G28" s="115" t="s">
        <v>1510</v>
      </c>
      <c r="I28" s="4"/>
    </row>
    <row r="29" spans="1:9" ht="15" customHeight="1">
      <c r="A29" s="97"/>
      <c r="B29" s="28"/>
      <c r="C29" s="99" t="s">
        <v>12</v>
      </c>
      <c r="D29" s="98"/>
      <c r="E29" s="5">
        <f>SUM(E15:E28)</f>
        <v>58.59</v>
      </c>
      <c r="F29" s="5"/>
      <c r="G29" s="5"/>
      <c r="H29" s="4"/>
      <c r="I29" s="4"/>
    </row>
    <row r="30" spans="1:9" ht="60">
      <c r="A30" s="248" t="s">
        <v>3</v>
      </c>
      <c r="B30" s="244" t="s">
        <v>24</v>
      </c>
      <c r="C30" s="244" t="s">
        <v>24</v>
      </c>
      <c r="D30" s="8" t="s">
        <v>120</v>
      </c>
      <c r="E30" s="5">
        <v>5</v>
      </c>
      <c r="F30" s="5" t="s">
        <v>1506</v>
      </c>
      <c r="G30" s="5" t="s">
        <v>119</v>
      </c>
      <c r="H30" s="4"/>
      <c r="I30" s="4"/>
    </row>
    <row r="31" spans="1:9" ht="105">
      <c r="A31" s="249"/>
      <c r="B31" s="245"/>
      <c r="C31" s="245"/>
      <c r="D31" s="8" t="s">
        <v>87</v>
      </c>
      <c r="E31" s="8">
        <v>2.5</v>
      </c>
      <c r="F31" s="5" t="s">
        <v>1485</v>
      </c>
      <c r="G31" s="44" t="s">
        <v>958</v>
      </c>
      <c r="H31" s="4"/>
      <c r="I31" s="4"/>
    </row>
    <row r="32" spans="1:9" ht="105">
      <c r="A32" s="249"/>
      <c r="B32" s="245"/>
      <c r="C32" s="245"/>
      <c r="D32" s="8" t="s">
        <v>82</v>
      </c>
      <c r="E32" s="8">
        <v>2</v>
      </c>
      <c r="F32" s="5" t="s">
        <v>1485</v>
      </c>
      <c r="G32" s="44" t="s">
        <v>958</v>
      </c>
      <c r="H32" s="4"/>
      <c r="I32" s="4"/>
    </row>
    <row r="33" spans="1:11" ht="30">
      <c r="A33" s="249"/>
      <c r="B33" s="245"/>
      <c r="C33" s="245"/>
      <c r="D33" s="11" t="s">
        <v>131</v>
      </c>
      <c r="E33" s="12">
        <v>2</v>
      </c>
      <c r="F33" s="5" t="s">
        <v>1418</v>
      </c>
      <c r="G33" s="13" t="s">
        <v>92</v>
      </c>
      <c r="H33" s="4"/>
      <c r="I33" s="4"/>
    </row>
    <row r="34" spans="1:11">
      <c r="A34" s="249"/>
      <c r="B34" s="245"/>
      <c r="C34" s="246"/>
      <c r="D34" s="16" t="s">
        <v>147</v>
      </c>
      <c r="E34" s="12">
        <v>0.5</v>
      </c>
      <c r="F34" s="12" t="s">
        <v>1344</v>
      </c>
      <c r="G34" s="21" t="s">
        <v>92</v>
      </c>
      <c r="H34" s="4"/>
      <c r="I34" s="4"/>
    </row>
    <row r="35" spans="1:11" ht="45">
      <c r="A35" s="249"/>
      <c r="B35" s="245"/>
      <c r="C35" s="162"/>
      <c r="D35" s="11" t="s">
        <v>133</v>
      </c>
      <c r="E35" s="13">
        <v>2</v>
      </c>
      <c r="F35" s="5" t="s">
        <v>1418</v>
      </c>
      <c r="G35" s="13" t="s">
        <v>92</v>
      </c>
      <c r="H35" s="4"/>
      <c r="I35" s="4"/>
    </row>
    <row r="36" spans="1:11" ht="30">
      <c r="A36" s="249"/>
      <c r="B36" s="245"/>
      <c r="C36" s="8" t="s">
        <v>25</v>
      </c>
      <c r="D36" s="8" t="s">
        <v>121</v>
      </c>
      <c r="E36" s="5">
        <v>5</v>
      </c>
      <c r="F36" s="5" t="s">
        <v>1419</v>
      </c>
      <c r="G36" s="5" t="s">
        <v>119</v>
      </c>
      <c r="H36" s="4"/>
      <c r="I36" s="4"/>
    </row>
    <row r="37" spans="1:11" ht="105">
      <c r="A37" s="249"/>
      <c r="B37" s="245"/>
      <c r="C37" s="8" t="s">
        <v>26</v>
      </c>
      <c r="D37" s="8" t="s">
        <v>91</v>
      </c>
      <c r="E37" s="5">
        <v>1</v>
      </c>
      <c r="F37" s="5" t="s">
        <v>1485</v>
      </c>
      <c r="G37" s="5" t="s">
        <v>1078</v>
      </c>
      <c r="H37" s="4"/>
      <c r="I37" s="4"/>
    </row>
    <row r="38" spans="1:11" ht="75">
      <c r="A38" s="249"/>
      <c r="B38" s="245"/>
      <c r="C38" s="244" t="s">
        <v>27</v>
      </c>
      <c r="D38" s="8" t="s">
        <v>60</v>
      </c>
      <c r="E38" s="5">
        <v>73</v>
      </c>
      <c r="F38" s="4" t="s">
        <v>1403</v>
      </c>
      <c r="G38" s="5" t="s">
        <v>787</v>
      </c>
      <c r="H38" s="4" t="s">
        <v>1403</v>
      </c>
      <c r="I38" s="7" t="s">
        <v>1398</v>
      </c>
    </row>
    <row r="39" spans="1:11" ht="105">
      <c r="A39" s="249"/>
      <c r="B39" s="245"/>
      <c r="C39" s="245"/>
      <c r="D39" s="8" t="s">
        <v>83</v>
      </c>
      <c r="E39" s="5">
        <v>3</v>
      </c>
      <c r="F39" s="5" t="s">
        <v>1485</v>
      </c>
      <c r="G39" s="44" t="s">
        <v>958</v>
      </c>
      <c r="H39" s="4"/>
      <c r="I39" s="4"/>
    </row>
    <row r="40" spans="1:11" ht="30">
      <c r="A40" s="249"/>
      <c r="B40" s="245"/>
      <c r="C40" s="246"/>
      <c r="D40" s="11" t="s">
        <v>132</v>
      </c>
      <c r="E40" s="13">
        <v>2</v>
      </c>
      <c r="F40" s="5" t="s">
        <v>1418</v>
      </c>
      <c r="G40" s="13" t="s">
        <v>92</v>
      </c>
      <c r="H40" s="4"/>
      <c r="I40" s="4"/>
    </row>
    <row r="41" spans="1:11">
      <c r="A41" s="250"/>
      <c r="B41" s="246"/>
      <c r="C41" s="19" t="s">
        <v>12</v>
      </c>
      <c r="D41" s="11"/>
      <c r="E41" s="13">
        <f>SUM(E30:E40)</f>
        <v>98</v>
      </c>
      <c r="F41" s="13"/>
      <c r="G41" s="13"/>
      <c r="H41" s="4"/>
      <c r="I41" s="4"/>
    </row>
    <row r="42" spans="1:11" ht="30">
      <c r="A42" s="248" t="s">
        <v>4</v>
      </c>
      <c r="B42" s="244" t="s">
        <v>28</v>
      </c>
      <c r="C42" s="8" t="s">
        <v>68</v>
      </c>
      <c r="D42" s="14" t="s">
        <v>125</v>
      </c>
      <c r="E42" s="5">
        <v>2</v>
      </c>
      <c r="F42" s="5" t="s">
        <v>1418</v>
      </c>
      <c r="G42" s="13" t="s">
        <v>92</v>
      </c>
      <c r="H42" s="4"/>
      <c r="I42" s="4"/>
    </row>
    <row r="43" spans="1:11" ht="30">
      <c r="A43" s="249"/>
      <c r="B43" s="245"/>
      <c r="C43" s="244" t="s">
        <v>28</v>
      </c>
      <c r="D43" s="14" t="s">
        <v>1420</v>
      </c>
      <c r="E43" s="5">
        <v>0.9</v>
      </c>
      <c r="F43" s="5" t="s">
        <v>115</v>
      </c>
      <c r="G43" s="5" t="s">
        <v>787</v>
      </c>
      <c r="H43" s="4"/>
      <c r="I43" s="4"/>
    </row>
    <row r="44" spans="1:11" ht="105">
      <c r="A44" s="249"/>
      <c r="B44" s="245"/>
      <c r="C44" s="246"/>
      <c r="D44" s="8" t="s">
        <v>90</v>
      </c>
      <c r="E44" s="5">
        <v>0.8</v>
      </c>
      <c r="F44" s="5" t="s">
        <v>1485</v>
      </c>
      <c r="G44" s="5" t="s">
        <v>1078</v>
      </c>
      <c r="H44" s="4"/>
      <c r="I44" s="4"/>
    </row>
    <row r="45" spans="1:11" ht="75">
      <c r="A45" s="249"/>
      <c r="B45" s="245"/>
      <c r="C45" s="244" t="s">
        <v>29</v>
      </c>
      <c r="D45" s="8" t="s">
        <v>109</v>
      </c>
      <c r="E45" s="5">
        <v>8</v>
      </c>
      <c r="F45" s="5" t="s">
        <v>1426</v>
      </c>
      <c r="G45" s="5" t="s">
        <v>626</v>
      </c>
      <c r="H45" s="5" t="s">
        <v>1426</v>
      </c>
      <c r="I45" s="115" t="s">
        <v>1398</v>
      </c>
    </row>
    <row r="46" spans="1:11" ht="75">
      <c r="A46" s="249"/>
      <c r="B46" s="245"/>
      <c r="C46" s="245"/>
      <c r="D46" s="8" t="s">
        <v>649</v>
      </c>
      <c r="E46" s="5">
        <v>2</v>
      </c>
      <c r="F46" s="5" t="s">
        <v>1426</v>
      </c>
      <c r="G46" s="5" t="s">
        <v>642</v>
      </c>
      <c r="H46" s="5" t="s">
        <v>1426</v>
      </c>
      <c r="I46" s="115" t="s">
        <v>1398</v>
      </c>
    </row>
    <row r="47" spans="1:11" ht="30">
      <c r="A47" s="249"/>
      <c r="B47" s="245"/>
      <c r="C47" s="245"/>
      <c r="D47" s="8" t="s">
        <v>144</v>
      </c>
      <c r="E47" s="5">
        <v>0.5</v>
      </c>
      <c r="F47" s="5" t="s">
        <v>1344</v>
      </c>
      <c r="G47" s="21" t="s">
        <v>92</v>
      </c>
      <c r="H47" s="4"/>
    </row>
    <row r="48" spans="1:11" ht="105">
      <c r="A48" s="249"/>
      <c r="B48" s="245"/>
      <c r="C48" s="246"/>
      <c r="D48" s="34" t="s">
        <v>921</v>
      </c>
      <c r="E48" s="46">
        <v>4</v>
      </c>
      <c r="F48" s="5" t="s">
        <v>1485</v>
      </c>
      <c r="G48" s="44" t="s">
        <v>958</v>
      </c>
      <c r="H48" s="4"/>
      <c r="I48" s="51"/>
      <c r="J48" s="52"/>
      <c r="K48" s="53"/>
    </row>
    <row r="49" spans="1:9" ht="105">
      <c r="A49" s="249"/>
      <c r="B49" s="245"/>
      <c r="C49" s="8" t="s">
        <v>30</v>
      </c>
      <c r="D49" s="8" t="s">
        <v>78</v>
      </c>
      <c r="E49" s="5">
        <v>2</v>
      </c>
      <c r="F49" s="5" t="s">
        <v>1485</v>
      </c>
      <c r="G49" s="5" t="s">
        <v>79</v>
      </c>
      <c r="H49" s="4"/>
      <c r="I49" s="4"/>
    </row>
    <row r="50" spans="1:9">
      <c r="A50" s="250"/>
      <c r="B50" s="246"/>
      <c r="C50" s="8" t="s">
        <v>12</v>
      </c>
      <c r="D50" s="8"/>
      <c r="E50" s="5">
        <f>SUM(E42:E49)</f>
        <v>20.2</v>
      </c>
      <c r="F50" s="5"/>
      <c r="G50" s="5"/>
      <c r="H50" s="4"/>
      <c r="I50" s="4"/>
    </row>
    <row r="51" spans="1:9" ht="60">
      <c r="A51" s="248" t="s">
        <v>5</v>
      </c>
      <c r="B51" s="244" t="s">
        <v>31</v>
      </c>
      <c r="C51" s="8" t="s">
        <v>32</v>
      </c>
      <c r="D51" s="11" t="s">
        <v>134</v>
      </c>
      <c r="E51" s="13">
        <v>2</v>
      </c>
      <c r="F51" s="5" t="s">
        <v>1418</v>
      </c>
      <c r="G51" s="13" t="s">
        <v>92</v>
      </c>
      <c r="H51" s="4"/>
      <c r="I51" s="4"/>
    </row>
    <row r="52" spans="1:9" ht="105">
      <c r="A52" s="249"/>
      <c r="B52" s="245"/>
      <c r="C52" s="244" t="s">
        <v>33</v>
      </c>
      <c r="D52" s="8" t="s">
        <v>77</v>
      </c>
      <c r="E52" s="5">
        <v>2</v>
      </c>
      <c r="F52" s="5" t="s">
        <v>1485</v>
      </c>
      <c r="G52" s="5" t="s">
        <v>79</v>
      </c>
      <c r="H52" s="4"/>
      <c r="I52" s="4"/>
    </row>
    <row r="53" spans="1:9" ht="30">
      <c r="A53" s="249"/>
      <c r="B53" s="245"/>
      <c r="C53" s="245"/>
      <c r="D53" s="8" t="s">
        <v>99</v>
      </c>
      <c r="E53" s="5">
        <v>0.15</v>
      </c>
      <c r="F53" s="5" t="s">
        <v>1116</v>
      </c>
      <c r="G53" s="61" t="s">
        <v>1503</v>
      </c>
      <c r="H53" s="4"/>
      <c r="I53" s="4"/>
    </row>
    <row r="54" spans="1:9" ht="60.75" thickBot="1">
      <c r="A54" s="249"/>
      <c r="B54" s="245"/>
      <c r="C54" s="245"/>
      <c r="D54" s="11" t="s">
        <v>136</v>
      </c>
      <c r="E54" s="13">
        <v>2</v>
      </c>
      <c r="F54" s="5" t="s">
        <v>1418</v>
      </c>
      <c r="G54" s="13" t="s">
        <v>92</v>
      </c>
      <c r="H54" s="4"/>
      <c r="I54" s="4"/>
    </row>
    <row r="55" spans="1:9" ht="63">
      <c r="A55" s="249"/>
      <c r="B55" s="245"/>
      <c r="C55" s="246"/>
      <c r="D55" s="77" t="s">
        <v>1359</v>
      </c>
      <c r="E55" s="7">
        <v>0.7</v>
      </c>
      <c r="F55" s="15" t="s">
        <v>1344</v>
      </c>
      <c r="G55" s="15" t="s">
        <v>1476</v>
      </c>
      <c r="H55" s="4"/>
      <c r="I55" s="4"/>
    </row>
    <row r="56" spans="1:9" ht="105">
      <c r="A56" s="249"/>
      <c r="B56" s="245"/>
      <c r="C56" s="244" t="s">
        <v>31</v>
      </c>
      <c r="D56" s="8" t="s">
        <v>788</v>
      </c>
      <c r="E56" s="9">
        <v>0.5</v>
      </c>
      <c r="F56" s="5" t="s">
        <v>1485</v>
      </c>
      <c r="G56" s="5" t="s">
        <v>1078</v>
      </c>
      <c r="H56" s="4"/>
      <c r="I56" s="4"/>
    </row>
    <row r="57" spans="1:9" ht="30">
      <c r="A57" s="249"/>
      <c r="B57" s="245"/>
      <c r="C57" s="245"/>
      <c r="D57" s="11" t="s">
        <v>135</v>
      </c>
      <c r="E57" s="13">
        <v>2</v>
      </c>
      <c r="F57" s="5" t="s">
        <v>1418</v>
      </c>
      <c r="G57" s="13" t="s">
        <v>92</v>
      </c>
      <c r="H57" s="4"/>
      <c r="I57" s="4"/>
    </row>
    <row r="58" spans="1:9" ht="30">
      <c r="A58" s="249"/>
      <c r="B58" s="245"/>
      <c r="C58" s="246"/>
      <c r="D58" s="16" t="s">
        <v>146</v>
      </c>
      <c r="E58" s="13">
        <v>0.5</v>
      </c>
      <c r="F58" s="13" t="s">
        <v>1344</v>
      </c>
      <c r="G58" s="21" t="s">
        <v>116</v>
      </c>
      <c r="H58" s="4" t="s">
        <v>1406</v>
      </c>
      <c r="I58" s="4"/>
    </row>
    <row r="59" spans="1:9">
      <c r="A59" s="250"/>
      <c r="B59" s="246"/>
      <c r="C59" s="19" t="s">
        <v>12</v>
      </c>
      <c r="D59" s="16"/>
      <c r="E59" s="13">
        <f>SUM(E51:E58)</f>
        <v>9.8500000000000014</v>
      </c>
      <c r="F59" s="13"/>
      <c r="G59" s="12"/>
      <c r="H59" s="4"/>
      <c r="I59" s="4"/>
    </row>
    <row r="60" spans="1:9" ht="105">
      <c r="A60" s="248" t="s">
        <v>6</v>
      </c>
      <c r="B60" s="244" t="s">
        <v>34</v>
      </c>
      <c r="C60" s="247" t="s">
        <v>34</v>
      </c>
      <c r="D60" s="8" t="s">
        <v>85</v>
      </c>
      <c r="E60" s="5">
        <v>3</v>
      </c>
      <c r="F60" s="5" t="s">
        <v>1485</v>
      </c>
      <c r="G60" s="44" t="s">
        <v>958</v>
      </c>
      <c r="H60" s="4"/>
      <c r="I60" s="4"/>
    </row>
    <row r="61" spans="1:9" ht="45">
      <c r="A61" s="249"/>
      <c r="B61" s="245"/>
      <c r="C61" s="247"/>
      <c r="D61" s="8" t="s">
        <v>110</v>
      </c>
      <c r="E61" s="5">
        <v>1.5</v>
      </c>
      <c r="F61" s="5" t="s">
        <v>488</v>
      </c>
      <c r="G61" s="5" t="s">
        <v>107</v>
      </c>
      <c r="H61" s="5" t="s">
        <v>1426</v>
      </c>
      <c r="I61" s="115" t="s">
        <v>1398</v>
      </c>
    </row>
    <row r="62" spans="1:9" ht="30">
      <c r="A62" s="249"/>
      <c r="B62" s="245"/>
      <c r="C62" s="247"/>
      <c r="D62" s="8" t="s">
        <v>101</v>
      </c>
      <c r="E62" s="5">
        <v>0.2</v>
      </c>
      <c r="F62" s="5" t="s">
        <v>1116</v>
      </c>
      <c r="G62" s="61" t="s">
        <v>1503</v>
      </c>
      <c r="H62" s="4"/>
      <c r="I62" s="4"/>
    </row>
    <row r="63" spans="1:9" ht="94.5">
      <c r="A63" s="249"/>
      <c r="B63" s="245"/>
      <c r="C63" s="247"/>
      <c r="D63" s="8" t="s">
        <v>1483</v>
      </c>
      <c r="E63" s="5">
        <v>1.5</v>
      </c>
      <c r="F63" s="124" t="s">
        <v>1401</v>
      </c>
      <c r="G63" s="5" t="s">
        <v>834</v>
      </c>
      <c r="H63" s="4"/>
      <c r="I63" s="4"/>
    </row>
    <row r="64" spans="1:9" ht="105">
      <c r="A64" s="249"/>
      <c r="B64" s="245"/>
      <c r="C64" s="244" t="s">
        <v>35</v>
      </c>
      <c r="D64" s="8" t="s">
        <v>93</v>
      </c>
      <c r="E64" s="8">
        <v>0.5</v>
      </c>
      <c r="F64" s="5" t="s">
        <v>1485</v>
      </c>
      <c r="G64" s="5" t="s">
        <v>1078</v>
      </c>
      <c r="H64" s="4"/>
      <c r="I64" s="4"/>
    </row>
    <row r="65" spans="1:9" ht="30">
      <c r="A65" s="249"/>
      <c r="B65" s="245"/>
      <c r="C65" s="245"/>
      <c r="D65" s="16" t="s">
        <v>124</v>
      </c>
      <c r="E65" s="12">
        <v>2</v>
      </c>
      <c r="F65" s="5" t="s">
        <v>1418</v>
      </c>
      <c r="G65" s="13" t="s">
        <v>92</v>
      </c>
      <c r="H65" s="4"/>
      <c r="I65" s="4"/>
    </row>
    <row r="66" spans="1:9" ht="30">
      <c r="A66" s="249"/>
      <c r="B66" s="245"/>
      <c r="C66" s="245"/>
      <c r="D66" s="10" t="s">
        <v>143</v>
      </c>
      <c r="E66" s="12">
        <v>0.5</v>
      </c>
      <c r="F66" s="12" t="s">
        <v>1344</v>
      </c>
      <c r="G66" s="21" t="s">
        <v>116</v>
      </c>
      <c r="H66" s="4" t="s">
        <v>1405</v>
      </c>
      <c r="I66" s="4"/>
    </row>
    <row r="67" spans="1:9" ht="75">
      <c r="A67" s="249"/>
      <c r="B67" s="245"/>
      <c r="C67" s="246"/>
      <c r="D67" s="10" t="s">
        <v>1421</v>
      </c>
      <c r="E67" s="12">
        <v>0.12</v>
      </c>
      <c r="F67" s="4" t="s">
        <v>1403</v>
      </c>
      <c r="G67" s="5" t="s">
        <v>787</v>
      </c>
      <c r="H67" s="4"/>
      <c r="I67" s="4"/>
    </row>
    <row r="68" spans="1:9">
      <c r="A68" s="249"/>
      <c r="B68" s="245"/>
      <c r="C68" s="8" t="s">
        <v>36</v>
      </c>
      <c r="D68" s="8"/>
      <c r="E68" s="5"/>
      <c r="F68" s="5"/>
      <c r="G68" s="5"/>
      <c r="H68" s="4"/>
      <c r="I68" s="4"/>
    </row>
    <row r="69" spans="1:9" ht="30">
      <c r="A69" s="249"/>
      <c r="B69" s="245"/>
      <c r="C69" s="8" t="s">
        <v>111</v>
      </c>
      <c r="D69" s="8" t="s">
        <v>112</v>
      </c>
      <c r="E69" s="5">
        <v>4</v>
      </c>
      <c r="F69" s="5" t="s">
        <v>1422</v>
      </c>
      <c r="G69" s="5" t="s">
        <v>79</v>
      </c>
      <c r="H69" s="4"/>
      <c r="I69" s="4"/>
    </row>
    <row r="70" spans="1:9">
      <c r="A70" s="250"/>
      <c r="B70" s="246"/>
      <c r="C70" s="18" t="s">
        <v>12</v>
      </c>
      <c r="D70" s="8"/>
      <c r="E70" s="5">
        <f>SUM(E60:E69)</f>
        <v>13.319999999999999</v>
      </c>
      <c r="F70" s="5"/>
      <c r="G70" s="5"/>
      <c r="H70" s="4"/>
      <c r="I70" s="4"/>
    </row>
    <row r="71" spans="1:9" ht="105">
      <c r="A71" s="248" t="s">
        <v>7</v>
      </c>
      <c r="B71" s="244" t="s">
        <v>37</v>
      </c>
      <c r="C71" s="244" t="s">
        <v>37</v>
      </c>
      <c r="D71" s="8" t="s">
        <v>89</v>
      </c>
      <c r="E71" s="5">
        <v>5</v>
      </c>
      <c r="F71" s="5" t="s">
        <v>1485</v>
      </c>
      <c r="G71" s="5" t="s">
        <v>79</v>
      </c>
      <c r="H71" s="4"/>
      <c r="I71" s="4"/>
    </row>
    <row r="72" spans="1:9" ht="30">
      <c r="A72" s="249"/>
      <c r="B72" s="245"/>
      <c r="C72" s="245"/>
      <c r="D72" s="8" t="s">
        <v>98</v>
      </c>
      <c r="E72" s="5">
        <v>0.4</v>
      </c>
      <c r="F72" s="5" t="s">
        <v>1116</v>
      </c>
      <c r="G72" s="61" t="s">
        <v>1503</v>
      </c>
      <c r="H72" s="4"/>
      <c r="I72" s="4"/>
    </row>
    <row r="73" spans="1:9" ht="30">
      <c r="A73" s="249"/>
      <c r="B73" s="245"/>
      <c r="C73" s="246"/>
      <c r="D73" s="11" t="s">
        <v>128</v>
      </c>
      <c r="E73" s="13">
        <v>2</v>
      </c>
      <c r="F73" s="5" t="s">
        <v>1418</v>
      </c>
      <c r="G73" s="13" t="s">
        <v>116</v>
      </c>
      <c r="H73" s="4"/>
      <c r="I73" s="4"/>
    </row>
    <row r="74" spans="1:9" ht="83.25" customHeight="1">
      <c r="A74" s="249"/>
      <c r="B74" s="245"/>
      <c r="C74" s="247" t="s">
        <v>38</v>
      </c>
      <c r="D74" s="8" t="s">
        <v>66</v>
      </c>
      <c r="E74" s="5">
        <v>1.5</v>
      </c>
      <c r="F74" s="6" t="s">
        <v>1403</v>
      </c>
      <c r="G74" s="5" t="s">
        <v>1479</v>
      </c>
      <c r="H74" s="6" t="s">
        <v>1403</v>
      </c>
      <c r="I74" s="4"/>
    </row>
    <row r="75" spans="1:9" ht="105">
      <c r="A75" s="249"/>
      <c r="B75" s="245"/>
      <c r="C75" s="247"/>
      <c r="D75" s="8" t="s">
        <v>122</v>
      </c>
      <c r="E75" s="5">
        <v>1</v>
      </c>
      <c r="F75" s="5" t="s">
        <v>1485</v>
      </c>
      <c r="G75" s="5" t="s">
        <v>79</v>
      </c>
      <c r="H75" s="4"/>
      <c r="I75" s="4"/>
    </row>
    <row r="76" spans="1:9" ht="106.5" customHeight="1">
      <c r="A76" s="249"/>
      <c r="B76" s="245"/>
      <c r="C76" s="244" t="s">
        <v>39</v>
      </c>
      <c r="D76" s="8" t="s">
        <v>86</v>
      </c>
      <c r="E76" s="5">
        <v>3</v>
      </c>
      <c r="F76" s="5" t="s">
        <v>1485</v>
      </c>
      <c r="G76" s="44" t="s">
        <v>958</v>
      </c>
      <c r="H76" s="4"/>
      <c r="I76" s="4"/>
    </row>
    <row r="77" spans="1:9" ht="44.25" customHeight="1">
      <c r="A77" s="249"/>
      <c r="B77" s="245"/>
      <c r="C77" s="245"/>
      <c r="D77" s="11" t="s">
        <v>129</v>
      </c>
      <c r="E77" s="13">
        <v>2</v>
      </c>
      <c r="F77" s="5" t="s">
        <v>1418</v>
      </c>
      <c r="G77" s="13" t="s">
        <v>116</v>
      </c>
      <c r="H77" s="4"/>
      <c r="I77" s="4"/>
    </row>
    <row r="78" spans="1:9" ht="44.25" customHeight="1">
      <c r="A78" s="249"/>
      <c r="B78" s="245"/>
      <c r="C78" s="246"/>
      <c r="D78" s="16" t="s">
        <v>145</v>
      </c>
      <c r="E78" s="15">
        <v>0.5</v>
      </c>
      <c r="F78" s="15" t="s">
        <v>1344</v>
      </c>
      <c r="G78" s="21" t="s">
        <v>116</v>
      </c>
      <c r="H78" s="4"/>
      <c r="I78" s="4"/>
    </row>
    <row r="79" spans="1:9" ht="28.5" customHeight="1">
      <c r="A79" s="250"/>
      <c r="B79" s="246"/>
      <c r="C79" s="22" t="s">
        <v>12</v>
      </c>
      <c r="D79" s="16"/>
      <c r="E79" s="15">
        <f>SUM(E71:E78)</f>
        <v>15.4</v>
      </c>
      <c r="F79" s="15"/>
      <c r="G79" s="21"/>
      <c r="H79" s="4"/>
      <c r="I79" s="4"/>
    </row>
    <row r="80" spans="1:9" ht="72.75" customHeight="1">
      <c r="A80" s="248" t="s">
        <v>9</v>
      </c>
      <c r="B80" s="244" t="s">
        <v>40</v>
      </c>
      <c r="C80" s="244" t="s">
        <v>40</v>
      </c>
      <c r="D80" s="8" t="s">
        <v>784</v>
      </c>
      <c r="E80" s="5">
        <v>2</v>
      </c>
      <c r="F80" s="6" t="s">
        <v>1403</v>
      </c>
      <c r="G80" s="5" t="s">
        <v>1479</v>
      </c>
      <c r="H80" s="6" t="s">
        <v>1403</v>
      </c>
      <c r="I80" s="4"/>
    </row>
    <row r="81" spans="1:9" ht="75">
      <c r="A81" s="249"/>
      <c r="B81" s="245"/>
      <c r="C81" s="245"/>
      <c r="D81" s="8" t="s">
        <v>117</v>
      </c>
      <c r="E81" s="5">
        <v>0.7</v>
      </c>
      <c r="F81" s="6" t="s">
        <v>1403</v>
      </c>
      <c r="G81" s="5" t="s">
        <v>1479</v>
      </c>
      <c r="H81" s="6" t="s">
        <v>1403</v>
      </c>
      <c r="I81" s="7" t="s">
        <v>1398</v>
      </c>
    </row>
    <row r="82" spans="1:9" ht="110.25" customHeight="1">
      <c r="A82" s="249"/>
      <c r="B82" s="245"/>
      <c r="C82" s="245"/>
      <c r="D82" s="8" t="s">
        <v>123</v>
      </c>
      <c r="E82" s="5">
        <v>2</v>
      </c>
      <c r="F82" s="5" t="s">
        <v>1485</v>
      </c>
      <c r="G82" s="5" t="s">
        <v>79</v>
      </c>
      <c r="H82" s="4"/>
      <c r="I82" s="4"/>
    </row>
    <row r="83" spans="1:9" ht="56.25" customHeight="1">
      <c r="A83" s="249"/>
      <c r="B83" s="245"/>
      <c r="C83" s="246"/>
      <c r="D83" s="16" t="s">
        <v>137</v>
      </c>
      <c r="E83" s="15">
        <v>2</v>
      </c>
      <c r="F83" s="5" t="s">
        <v>1418</v>
      </c>
      <c r="G83" s="15" t="s">
        <v>116</v>
      </c>
      <c r="H83" s="4"/>
      <c r="I83" s="4"/>
    </row>
    <row r="84" spans="1:9" ht="75">
      <c r="A84" s="249"/>
      <c r="B84" s="245"/>
      <c r="C84" s="247" t="s">
        <v>41</v>
      </c>
      <c r="D84" s="8" t="s">
        <v>58</v>
      </c>
      <c r="E84" s="5">
        <v>5</v>
      </c>
      <c r="F84" s="6" t="s">
        <v>1403</v>
      </c>
      <c r="G84" s="5" t="s">
        <v>1479</v>
      </c>
      <c r="H84" s="6" t="s">
        <v>1403</v>
      </c>
      <c r="I84" s="7" t="s">
        <v>1398</v>
      </c>
    </row>
    <row r="85" spans="1:9" ht="75">
      <c r="A85" s="249"/>
      <c r="B85" s="245"/>
      <c r="C85" s="247"/>
      <c r="D85" s="8" t="s">
        <v>62</v>
      </c>
      <c r="E85" s="5">
        <v>0.7</v>
      </c>
      <c r="F85" s="6" t="s">
        <v>1403</v>
      </c>
      <c r="G85" s="5" t="s">
        <v>1479</v>
      </c>
      <c r="H85" s="6" t="s">
        <v>1403</v>
      </c>
      <c r="I85" s="4"/>
    </row>
    <row r="86" spans="1:9" ht="75">
      <c r="A86" s="249"/>
      <c r="B86" s="245"/>
      <c r="C86" s="247"/>
      <c r="D86" s="8" t="s">
        <v>108</v>
      </c>
      <c r="E86" s="5">
        <v>3</v>
      </c>
      <c r="F86" s="5" t="s">
        <v>1426</v>
      </c>
      <c r="G86" s="5" t="s">
        <v>626</v>
      </c>
      <c r="H86" s="5" t="s">
        <v>1426</v>
      </c>
      <c r="I86" s="115" t="s">
        <v>1398</v>
      </c>
    </row>
    <row r="87" spans="1:9" ht="75">
      <c r="A87" s="249"/>
      <c r="B87" s="245"/>
      <c r="C87" s="247"/>
      <c r="D87" s="8" t="s">
        <v>105</v>
      </c>
      <c r="E87" s="5">
        <v>2</v>
      </c>
      <c r="F87" s="5" t="s">
        <v>1426</v>
      </c>
      <c r="G87" s="5" t="s">
        <v>107</v>
      </c>
      <c r="H87" s="5" t="s">
        <v>1426</v>
      </c>
      <c r="I87" s="115" t="s">
        <v>1398</v>
      </c>
    </row>
    <row r="88" spans="1:9" ht="75">
      <c r="A88" s="249"/>
      <c r="B88" s="245"/>
      <c r="C88" s="247"/>
      <c r="D88" s="8" t="s">
        <v>63</v>
      </c>
      <c r="E88" s="5">
        <v>1</v>
      </c>
      <c r="F88" s="6" t="s">
        <v>1403</v>
      </c>
      <c r="G88" s="5" t="s">
        <v>1479</v>
      </c>
      <c r="H88" s="6" t="s">
        <v>1403</v>
      </c>
      <c r="I88" s="7" t="s">
        <v>1398</v>
      </c>
    </row>
    <row r="89" spans="1:9">
      <c r="A89" s="249"/>
      <c r="B89" s="245"/>
      <c r="C89" s="8" t="s">
        <v>42</v>
      </c>
      <c r="D89" s="8"/>
      <c r="E89" s="5"/>
      <c r="F89" s="5"/>
      <c r="G89" s="5"/>
      <c r="H89" s="4"/>
      <c r="I89" s="4"/>
    </row>
    <row r="90" spans="1:9">
      <c r="A90" s="250"/>
      <c r="B90" s="246"/>
      <c r="C90" s="8" t="s">
        <v>12</v>
      </c>
      <c r="D90" s="8"/>
      <c r="E90" s="5">
        <f>SUM(E80:E89)</f>
        <v>18.399999999999999</v>
      </c>
      <c r="F90" s="5"/>
      <c r="G90" s="5"/>
      <c r="H90" s="4"/>
      <c r="I90" s="4"/>
    </row>
    <row r="91" spans="1:9" ht="105">
      <c r="A91" s="248" t="s">
        <v>13</v>
      </c>
      <c r="B91" s="244" t="s">
        <v>43</v>
      </c>
      <c r="C91" s="247" t="s">
        <v>43</v>
      </c>
      <c r="D91" s="8" t="s">
        <v>1497</v>
      </c>
      <c r="E91" s="5">
        <v>2</v>
      </c>
      <c r="F91" s="5" t="s">
        <v>1485</v>
      </c>
      <c r="G91" s="5" t="s">
        <v>79</v>
      </c>
      <c r="H91" s="4"/>
      <c r="I91" s="4"/>
    </row>
    <row r="92" spans="1:9" ht="75">
      <c r="A92" s="249"/>
      <c r="B92" s="245"/>
      <c r="C92" s="247"/>
      <c r="D92" s="8" t="s">
        <v>106</v>
      </c>
      <c r="E92" s="5">
        <v>2</v>
      </c>
      <c r="F92" s="5" t="s">
        <v>1426</v>
      </c>
      <c r="G92" s="5" t="s">
        <v>626</v>
      </c>
      <c r="H92" s="5" t="s">
        <v>1426</v>
      </c>
      <c r="I92" s="115" t="s">
        <v>1398</v>
      </c>
    </row>
    <row r="93" spans="1:9" ht="75">
      <c r="A93" s="249"/>
      <c r="B93" s="245"/>
      <c r="C93" s="247"/>
      <c r="D93" s="8" t="s">
        <v>104</v>
      </c>
      <c r="E93" s="5">
        <v>5</v>
      </c>
      <c r="F93" s="5" t="s">
        <v>1426</v>
      </c>
      <c r="G93" s="5" t="s">
        <v>626</v>
      </c>
      <c r="H93" s="5" t="s">
        <v>1426</v>
      </c>
      <c r="I93" s="115" t="s">
        <v>1398</v>
      </c>
    </row>
    <row r="94" spans="1:9">
      <c r="A94" s="249"/>
      <c r="B94" s="245"/>
      <c r="C94" s="8" t="s">
        <v>44</v>
      </c>
      <c r="D94" s="8"/>
      <c r="E94" s="5"/>
      <c r="F94" s="5"/>
      <c r="G94" s="5"/>
      <c r="H94" s="4"/>
      <c r="I94" s="4"/>
    </row>
    <row r="95" spans="1:9" ht="45">
      <c r="A95" s="249"/>
      <c r="B95" s="245"/>
      <c r="C95" s="244" t="s">
        <v>45</v>
      </c>
      <c r="D95" s="11" t="s">
        <v>138</v>
      </c>
      <c r="E95" s="13">
        <v>2</v>
      </c>
      <c r="F95" s="5" t="s">
        <v>1418</v>
      </c>
      <c r="G95" s="13" t="s">
        <v>116</v>
      </c>
      <c r="H95" s="4"/>
      <c r="I95" s="4"/>
    </row>
    <row r="96" spans="1:9" ht="30">
      <c r="A96" s="249"/>
      <c r="B96" s="245"/>
      <c r="C96" s="246"/>
      <c r="D96" s="16" t="s">
        <v>149</v>
      </c>
      <c r="E96" s="15">
        <v>0.5</v>
      </c>
      <c r="F96" s="15" t="s">
        <v>1344</v>
      </c>
      <c r="G96" s="21" t="s">
        <v>116</v>
      </c>
      <c r="H96" s="4"/>
      <c r="I96" s="4"/>
    </row>
    <row r="97" spans="1:9">
      <c r="A97" s="249"/>
      <c r="B97" s="245"/>
      <c r="C97" s="8" t="s">
        <v>46</v>
      </c>
      <c r="D97" s="8"/>
      <c r="E97" s="5"/>
      <c r="F97" s="5"/>
      <c r="G97" s="5"/>
      <c r="H97" s="4"/>
      <c r="I97" s="4"/>
    </row>
    <row r="98" spans="1:9">
      <c r="A98" s="250"/>
      <c r="B98" s="246"/>
      <c r="C98" s="8" t="s">
        <v>12</v>
      </c>
      <c r="D98" s="8"/>
      <c r="E98" s="5">
        <f>SUM(E91:E97)</f>
        <v>11.5</v>
      </c>
      <c r="F98" s="5"/>
      <c r="G98" s="5"/>
      <c r="H98" s="4"/>
      <c r="I98" s="4"/>
    </row>
    <row r="99" spans="1:9" ht="105">
      <c r="A99" s="248" t="s">
        <v>14</v>
      </c>
      <c r="B99" s="252" t="s">
        <v>47</v>
      </c>
      <c r="C99" s="247" t="s">
        <v>47</v>
      </c>
      <c r="D99" s="8" t="s">
        <v>69</v>
      </c>
      <c r="E99" s="5">
        <v>3</v>
      </c>
      <c r="F99" s="5" t="s">
        <v>1485</v>
      </c>
      <c r="G99" s="44" t="s">
        <v>958</v>
      </c>
      <c r="H99" s="4"/>
      <c r="I99" s="4"/>
    </row>
    <row r="100" spans="1:9" ht="105">
      <c r="A100" s="249"/>
      <c r="B100" s="253"/>
      <c r="C100" s="247"/>
      <c r="D100" s="8" t="s">
        <v>96</v>
      </c>
      <c r="E100" s="5">
        <v>0.5</v>
      </c>
      <c r="F100" s="5" t="s">
        <v>1485</v>
      </c>
      <c r="G100" s="5" t="s">
        <v>1078</v>
      </c>
      <c r="H100" s="4"/>
      <c r="I100" s="4"/>
    </row>
    <row r="101" spans="1:9" ht="75">
      <c r="A101" s="249"/>
      <c r="B101" s="253"/>
      <c r="C101" s="247"/>
      <c r="D101" s="8" t="s">
        <v>114</v>
      </c>
      <c r="E101" s="5">
        <v>5</v>
      </c>
      <c r="F101" s="6" t="s">
        <v>1397</v>
      </c>
      <c r="G101" s="5" t="s">
        <v>783</v>
      </c>
      <c r="H101" s="6" t="s">
        <v>1397</v>
      </c>
      <c r="I101" s="6" t="s">
        <v>1398</v>
      </c>
    </row>
    <row r="102" spans="1:9" ht="105">
      <c r="A102" s="249"/>
      <c r="B102" s="253"/>
      <c r="C102" s="247" t="s">
        <v>48</v>
      </c>
      <c r="D102" s="8" t="s">
        <v>75</v>
      </c>
      <c r="E102" s="5">
        <v>1.5</v>
      </c>
      <c r="F102" s="5" t="s">
        <v>1485</v>
      </c>
      <c r="G102" s="5" t="s">
        <v>79</v>
      </c>
      <c r="H102" s="4"/>
      <c r="I102" s="4"/>
    </row>
    <row r="103" spans="1:9" ht="105.75" thickBot="1">
      <c r="A103" s="249"/>
      <c r="B103" s="253"/>
      <c r="C103" s="247"/>
      <c r="D103" s="8" t="s">
        <v>95</v>
      </c>
      <c r="E103" s="5">
        <v>0.5</v>
      </c>
      <c r="F103" s="5" t="s">
        <v>1485</v>
      </c>
      <c r="G103" s="5" t="s">
        <v>1078</v>
      </c>
      <c r="H103" s="4"/>
      <c r="I103" s="4"/>
    </row>
    <row r="104" spans="1:9" ht="78.75">
      <c r="A104" s="249"/>
      <c r="B104" s="253"/>
      <c r="C104" s="244" t="s">
        <v>49</v>
      </c>
      <c r="D104" s="77" t="s">
        <v>1358</v>
      </c>
      <c r="E104" s="7">
        <v>0.8</v>
      </c>
      <c r="F104" s="5" t="s">
        <v>1344</v>
      </c>
      <c r="G104" s="5" t="s">
        <v>92</v>
      </c>
      <c r="H104" s="4"/>
      <c r="I104" s="4"/>
    </row>
    <row r="105" spans="1:9" ht="30">
      <c r="A105" s="249"/>
      <c r="B105" s="253"/>
      <c r="C105" s="246"/>
      <c r="D105" s="5" t="s">
        <v>1512</v>
      </c>
      <c r="E105" s="9">
        <v>1.38</v>
      </c>
      <c r="F105" s="29" t="s">
        <v>1510</v>
      </c>
      <c r="G105" s="29" t="s">
        <v>1510</v>
      </c>
      <c r="H105" s="4"/>
      <c r="I105" s="4"/>
    </row>
    <row r="106" spans="1:9" ht="105">
      <c r="A106" s="249"/>
      <c r="B106" s="253"/>
      <c r="C106" s="244" t="s">
        <v>50</v>
      </c>
      <c r="D106" s="8" t="s">
        <v>76</v>
      </c>
      <c r="E106" s="5">
        <v>1</v>
      </c>
      <c r="F106" s="5" t="s">
        <v>1485</v>
      </c>
      <c r="G106" s="5" t="s">
        <v>79</v>
      </c>
      <c r="H106" s="4"/>
      <c r="I106" s="4"/>
    </row>
    <row r="107" spans="1:9" ht="105">
      <c r="A107" s="249"/>
      <c r="B107" s="253"/>
      <c r="C107" s="245"/>
      <c r="D107" s="8" t="s">
        <v>94</v>
      </c>
      <c r="E107" s="5">
        <v>0.5</v>
      </c>
      <c r="F107" s="5" t="s">
        <v>1485</v>
      </c>
      <c r="G107" s="5" t="s">
        <v>1078</v>
      </c>
      <c r="H107" s="4"/>
      <c r="I107" s="4"/>
    </row>
    <row r="108" spans="1:9" ht="60">
      <c r="A108" s="249"/>
      <c r="B108" s="253"/>
      <c r="C108" s="245"/>
      <c r="D108" s="8" t="s">
        <v>81</v>
      </c>
      <c r="E108" s="5">
        <v>6</v>
      </c>
      <c r="F108" s="5" t="s">
        <v>1506</v>
      </c>
      <c r="G108" s="5" t="s">
        <v>119</v>
      </c>
      <c r="H108" s="4"/>
      <c r="I108" s="4"/>
    </row>
    <row r="109" spans="1:9" ht="45">
      <c r="A109" s="249"/>
      <c r="B109" s="253"/>
      <c r="C109" s="246"/>
      <c r="D109" s="11" t="s">
        <v>127</v>
      </c>
      <c r="E109" s="13">
        <v>2</v>
      </c>
      <c r="F109" s="5" t="s">
        <v>1418</v>
      </c>
      <c r="G109" s="13" t="s">
        <v>92</v>
      </c>
      <c r="H109" s="4"/>
      <c r="I109" s="4"/>
    </row>
    <row r="110" spans="1:9">
      <c r="A110" s="250"/>
      <c r="B110" s="254"/>
      <c r="C110" s="22"/>
      <c r="D110" s="11" t="s">
        <v>12</v>
      </c>
      <c r="E110" s="13">
        <f>SUM(E99:E109)</f>
        <v>22.18</v>
      </c>
      <c r="F110" s="13"/>
      <c r="G110" s="13"/>
      <c r="H110" s="4"/>
      <c r="I110" s="4"/>
    </row>
    <row r="111" spans="1:9" ht="60">
      <c r="A111" s="251" t="s">
        <v>15</v>
      </c>
      <c r="B111" s="247" t="s">
        <v>51</v>
      </c>
      <c r="C111" s="244" t="s">
        <v>51</v>
      </c>
      <c r="D111" s="8" t="s">
        <v>64</v>
      </c>
      <c r="E111" s="5">
        <v>6</v>
      </c>
      <c r="F111" s="5" t="s">
        <v>1506</v>
      </c>
      <c r="G111" s="5" t="s">
        <v>119</v>
      </c>
      <c r="H111" s="4"/>
      <c r="I111" s="4"/>
    </row>
    <row r="112" spans="1:9" ht="105">
      <c r="A112" s="251"/>
      <c r="B112" s="247"/>
      <c r="C112" s="245"/>
      <c r="D112" s="8" t="s">
        <v>67</v>
      </c>
      <c r="E112" s="5">
        <v>7</v>
      </c>
      <c r="F112" s="5" t="s">
        <v>1485</v>
      </c>
      <c r="G112" s="44" t="s">
        <v>958</v>
      </c>
      <c r="H112" s="4"/>
      <c r="I112" s="4"/>
    </row>
    <row r="113" spans="1:9" ht="30">
      <c r="A113" s="251"/>
      <c r="B113" s="247"/>
      <c r="C113" s="246"/>
      <c r="D113" s="31" t="s">
        <v>148</v>
      </c>
      <c r="E113" s="13">
        <v>0.5</v>
      </c>
      <c r="F113" s="15" t="s">
        <v>1344</v>
      </c>
      <c r="G113" s="21" t="s">
        <v>116</v>
      </c>
      <c r="H113" s="4"/>
      <c r="I113" s="4"/>
    </row>
    <row r="114" spans="1:9" ht="30">
      <c r="A114" s="251"/>
      <c r="B114" s="247"/>
      <c r="C114" s="8" t="s">
        <v>52</v>
      </c>
      <c r="D114" s="8" t="s">
        <v>97</v>
      </c>
      <c r="E114" s="5">
        <v>2</v>
      </c>
      <c r="F114" s="5" t="s">
        <v>1116</v>
      </c>
      <c r="G114" s="15" t="s">
        <v>783</v>
      </c>
      <c r="H114" s="4"/>
      <c r="I114" s="4"/>
    </row>
    <row r="115" spans="1:9" ht="105">
      <c r="A115" s="251"/>
      <c r="B115" s="247"/>
      <c r="C115" s="247" t="s">
        <v>53</v>
      </c>
      <c r="D115" s="8" t="s">
        <v>103</v>
      </c>
      <c r="E115" s="5">
        <v>6</v>
      </c>
      <c r="F115" s="5" t="s">
        <v>1485</v>
      </c>
      <c r="G115" s="44" t="s">
        <v>958</v>
      </c>
      <c r="H115" s="4"/>
      <c r="I115" s="4"/>
    </row>
    <row r="116" spans="1:9" ht="105">
      <c r="A116" s="251"/>
      <c r="B116" s="247"/>
      <c r="C116" s="247"/>
      <c r="D116" s="8" t="s">
        <v>88</v>
      </c>
      <c r="E116" s="5">
        <v>1</v>
      </c>
      <c r="F116" s="5" t="s">
        <v>1485</v>
      </c>
      <c r="G116" s="5" t="s">
        <v>79</v>
      </c>
      <c r="H116" s="4"/>
      <c r="I116" s="4"/>
    </row>
    <row r="117" spans="1:9" ht="105">
      <c r="A117" s="251"/>
      <c r="B117" s="247"/>
      <c r="C117" s="247"/>
      <c r="D117" s="8" t="s">
        <v>1496</v>
      </c>
      <c r="E117" s="5">
        <v>1.5</v>
      </c>
      <c r="F117" s="5" t="s">
        <v>1485</v>
      </c>
      <c r="G117" s="5" t="s">
        <v>79</v>
      </c>
      <c r="H117" s="4"/>
      <c r="I117" s="4"/>
    </row>
    <row r="118" spans="1:9" ht="45">
      <c r="A118" s="251"/>
      <c r="B118" s="247"/>
      <c r="C118" s="247"/>
      <c r="D118" s="11" t="s">
        <v>139</v>
      </c>
      <c r="E118" s="13">
        <v>2</v>
      </c>
      <c r="F118" s="5" t="s">
        <v>1418</v>
      </c>
      <c r="G118" s="13" t="s">
        <v>92</v>
      </c>
      <c r="H118" s="4"/>
      <c r="I118" s="4"/>
    </row>
    <row r="119" spans="1:9" ht="75">
      <c r="A119" s="251"/>
      <c r="B119" s="247"/>
      <c r="C119" s="247"/>
      <c r="D119" s="5" t="s">
        <v>1423</v>
      </c>
      <c r="E119" s="9">
        <v>1.2</v>
      </c>
      <c r="F119" s="6" t="s">
        <v>1403</v>
      </c>
      <c r="G119" s="5" t="s">
        <v>785</v>
      </c>
    </row>
    <row r="120" spans="1:9">
      <c r="A120" s="1"/>
      <c r="B120" s="1"/>
      <c r="C120" s="1"/>
      <c r="D120" s="5" t="s">
        <v>12</v>
      </c>
      <c r="E120" s="1">
        <f>SUM(E111:E119)</f>
        <v>27.2</v>
      </c>
      <c r="F120" s="5"/>
      <c r="G120" s="1"/>
    </row>
    <row r="121" spans="1:9" ht="75">
      <c r="A121" s="1"/>
      <c r="B121" s="1"/>
      <c r="C121" s="242" t="s">
        <v>660</v>
      </c>
      <c r="D121" s="5" t="s">
        <v>656</v>
      </c>
      <c r="E121" s="9">
        <v>0.8</v>
      </c>
      <c r="F121" s="5" t="s">
        <v>1426</v>
      </c>
      <c r="G121" s="5" t="s">
        <v>657</v>
      </c>
      <c r="H121" s="5" t="s">
        <v>1426</v>
      </c>
      <c r="I121" s="115" t="s">
        <v>1398</v>
      </c>
    </row>
    <row r="122" spans="1:9" ht="75">
      <c r="A122" s="1"/>
      <c r="B122" s="1"/>
      <c r="C122" s="243"/>
      <c r="D122" s="5" t="s">
        <v>661</v>
      </c>
      <c r="E122" s="9">
        <v>0.5</v>
      </c>
      <c r="F122" s="5" t="s">
        <v>1426</v>
      </c>
      <c r="G122" s="5" t="s">
        <v>657</v>
      </c>
      <c r="H122" s="5" t="s">
        <v>1426</v>
      </c>
      <c r="I122" s="115" t="s">
        <v>1398</v>
      </c>
    </row>
    <row r="123" spans="1:9" ht="75">
      <c r="A123" s="1"/>
      <c r="B123" s="1"/>
      <c r="C123" s="243"/>
      <c r="D123" s="5" t="s">
        <v>658</v>
      </c>
      <c r="E123" s="9">
        <v>0.5</v>
      </c>
      <c r="F123" s="5" t="s">
        <v>1426</v>
      </c>
      <c r="G123" s="5" t="s">
        <v>657</v>
      </c>
      <c r="H123" s="5" t="s">
        <v>1426</v>
      </c>
      <c r="I123" s="115" t="s">
        <v>1398</v>
      </c>
    </row>
    <row r="124" spans="1:9" ht="75">
      <c r="A124" s="1"/>
      <c r="B124" s="1"/>
      <c r="C124" s="243"/>
      <c r="D124" s="5" t="s">
        <v>659</v>
      </c>
      <c r="E124" s="9">
        <v>0.1</v>
      </c>
      <c r="F124" s="5" t="s">
        <v>1426</v>
      </c>
      <c r="G124" s="5" t="s">
        <v>657</v>
      </c>
      <c r="H124" s="5" t="s">
        <v>1426</v>
      </c>
      <c r="I124" s="115" t="s">
        <v>1398</v>
      </c>
    </row>
    <row r="125" spans="1:9" ht="94.5">
      <c r="A125" s="1"/>
      <c r="B125" s="1"/>
      <c r="C125" s="243"/>
      <c r="D125" s="5" t="s">
        <v>683</v>
      </c>
      <c r="E125" s="9">
        <v>0.1</v>
      </c>
      <c r="F125" s="20" t="s">
        <v>1426</v>
      </c>
      <c r="G125" s="5" t="s">
        <v>642</v>
      </c>
    </row>
    <row r="126" spans="1:9" ht="94.5">
      <c r="A126" s="1"/>
      <c r="B126" s="1"/>
      <c r="C126" s="243"/>
      <c r="D126" s="5" t="s">
        <v>1390</v>
      </c>
      <c r="E126" s="9">
        <v>0.1</v>
      </c>
      <c r="F126" s="20" t="s">
        <v>1426</v>
      </c>
      <c r="G126" s="5" t="s">
        <v>642</v>
      </c>
    </row>
    <row r="127" spans="1:9" ht="15" customHeight="1">
      <c r="A127" s="1"/>
      <c r="B127" s="1"/>
      <c r="C127" s="239" t="s">
        <v>1923</v>
      </c>
      <c r="D127" s="207" t="s">
        <v>1901</v>
      </c>
      <c r="E127" s="9">
        <v>30.48</v>
      </c>
      <c r="F127" s="237" t="s">
        <v>1919</v>
      </c>
      <c r="G127" s="234" t="s">
        <v>1504</v>
      </c>
    </row>
    <row r="128" spans="1:9">
      <c r="A128" s="1"/>
      <c r="B128" s="1"/>
      <c r="C128" s="240"/>
      <c r="D128" s="206" t="s">
        <v>1896</v>
      </c>
      <c r="E128" s="9">
        <v>28.5</v>
      </c>
      <c r="F128" s="238"/>
      <c r="G128" s="235"/>
    </row>
    <row r="129" spans="1:7" ht="60">
      <c r="A129" s="1"/>
      <c r="B129" s="1"/>
      <c r="C129" s="241"/>
      <c r="D129" s="76" t="s">
        <v>1902</v>
      </c>
      <c r="E129" s="1">
        <v>993</v>
      </c>
      <c r="F129" s="214" t="s">
        <v>1924</v>
      </c>
      <c r="G129" s="236"/>
    </row>
    <row r="130" spans="1:7">
      <c r="A130" s="1"/>
      <c r="B130" s="1"/>
      <c r="C130" s="1" t="s">
        <v>12</v>
      </c>
      <c r="D130" s="5"/>
      <c r="E130" s="101">
        <f>SUM(E121:E129)</f>
        <v>1054.08</v>
      </c>
      <c r="F130" s="5"/>
      <c r="G130" s="1"/>
    </row>
    <row r="131" spans="1:7">
      <c r="A131" s="1"/>
      <c r="B131" s="1"/>
      <c r="C131" s="1" t="s">
        <v>150</v>
      </c>
      <c r="D131" s="5"/>
      <c r="E131" s="1">
        <f>E130+E120+E110+E98+E90+E79+E70+E59+E50+E41+E29+E14</f>
        <v>1369.94</v>
      </c>
      <c r="F131" s="5"/>
      <c r="G131" s="1"/>
    </row>
    <row r="132" spans="1:7">
      <c r="B132" t="s">
        <v>1319</v>
      </c>
      <c r="D132"/>
    </row>
    <row r="141" spans="1:7">
      <c r="D141"/>
    </row>
  </sheetData>
  <mergeCells count="54">
    <mergeCell ref="A1:G1"/>
    <mergeCell ref="A2:G2"/>
    <mergeCell ref="B15:B28"/>
    <mergeCell ref="A15:A28"/>
    <mergeCell ref="C6:C11"/>
    <mergeCell ref="C26:C28"/>
    <mergeCell ref="C22:C24"/>
    <mergeCell ref="A4:A13"/>
    <mergeCell ref="B4:B13"/>
    <mergeCell ref="C15:C21"/>
    <mergeCell ref="C12:C13"/>
    <mergeCell ref="A111:A119"/>
    <mergeCell ref="C111:C113"/>
    <mergeCell ref="C95:C96"/>
    <mergeCell ref="A99:A110"/>
    <mergeCell ref="B99:B110"/>
    <mergeCell ref="C106:C109"/>
    <mergeCell ref="C99:C101"/>
    <mergeCell ref="C102:C103"/>
    <mergeCell ref="A91:A98"/>
    <mergeCell ref="B111:B119"/>
    <mergeCell ref="B91:B98"/>
    <mergeCell ref="C104:C105"/>
    <mergeCell ref="A30:A41"/>
    <mergeCell ref="B30:B41"/>
    <mergeCell ref="A51:A59"/>
    <mergeCell ref="C71:C73"/>
    <mergeCell ref="C74:C75"/>
    <mergeCell ref="C60:C63"/>
    <mergeCell ref="A60:A70"/>
    <mergeCell ref="A80:A90"/>
    <mergeCell ref="A71:A79"/>
    <mergeCell ref="A42:A50"/>
    <mergeCell ref="B80:B90"/>
    <mergeCell ref="B42:B50"/>
    <mergeCell ref="B71:B79"/>
    <mergeCell ref="B60:B70"/>
    <mergeCell ref="B51:B59"/>
    <mergeCell ref="G127:G129"/>
    <mergeCell ref="F127:F128"/>
    <mergeCell ref="C127:C129"/>
    <mergeCell ref="C121:C126"/>
    <mergeCell ref="C30:C34"/>
    <mergeCell ref="C91:C93"/>
    <mergeCell ref="C84:C88"/>
    <mergeCell ref="C38:C40"/>
    <mergeCell ref="C80:C83"/>
    <mergeCell ref="C45:C48"/>
    <mergeCell ref="C52:C55"/>
    <mergeCell ref="C76:C78"/>
    <mergeCell ref="C43:C44"/>
    <mergeCell ref="C56:C58"/>
    <mergeCell ref="C115:C119"/>
    <mergeCell ref="C64:C67"/>
  </mergeCells>
  <pageMargins left="0.7" right="0.27" top="0.49" bottom="0.46" header="0.3" footer="0.3"/>
  <pageSetup paperSize="9"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22"/>
  <sheetViews>
    <sheetView topLeftCell="A114" workbookViewId="0">
      <selection activeCell="B125" sqref="B125"/>
    </sheetView>
  </sheetViews>
  <sheetFormatPr defaultRowHeight="15"/>
  <cols>
    <col min="1" max="1" width="6.28515625" customWidth="1"/>
    <col min="2" max="2" width="13.5703125" customWidth="1"/>
    <col min="3" max="3" width="13.42578125" customWidth="1"/>
    <col min="4" max="4" width="47.28515625" style="6" customWidth="1"/>
    <col min="5" max="5" width="9.7109375" customWidth="1"/>
    <col min="6" max="6" width="25.28515625" style="6" customWidth="1"/>
    <col min="7" max="7" width="19.28515625" bestFit="1" customWidth="1"/>
    <col min="8" max="8" width="34.5703125" customWidth="1"/>
    <col min="9" max="9" width="17" customWidth="1"/>
    <col min="10" max="10" width="15.28515625" customWidth="1"/>
  </cols>
  <sheetData>
    <row r="1" spans="1:9" ht="21">
      <c r="A1" s="255" t="s">
        <v>55</v>
      </c>
      <c r="B1" s="256"/>
      <c r="C1" s="256"/>
      <c r="D1" s="256"/>
      <c r="E1" s="256"/>
      <c r="F1" s="256"/>
      <c r="G1" s="256"/>
    </row>
    <row r="2" spans="1:9" ht="15.75">
      <c r="A2" s="257" t="s">
        <v>151</v>
      </c>
      <c r="B2" s="257"/>
      <c r="C2" s="257"/>
      <c r="D2" s="257"/>
      <c r="E2" s="257"/>
      <c r="F2" s="257"/>
      <c r="G2" s="257"/>
    </row>
    <row r="3" spans="1:9" s="7" customFormat="1" ht="30" customHeight="1">
      <c r="A3" s="3" t="s">
        <v>0</v>
      </c>
      <c r="B3" s="3" t="s">
        <v>10</v>
      </c>
      <c r="C3" s="3" t="s">
        <v>11</v>
      </c>
      <c r="D3" s="3" t="s">
        <v>54</v>
      </c>
      <c r="E3" s="3" t="s">
        <v>59</v>
      </c>
      <c r="F3" s="3" t="s">
        <v>1473</v>
      </c>
      <c r="G3" s="3" t="s">
        <v>57</v>
      </c>
      <c r="H3" s="6"/>
      <c r="I3" s="6"/>
    </row>
    <row r="4" spans="1:9" ht="90">
      <c r="A4" s="248" t="s">
        <v>1</v>
      </c>
      <c r="B4" s="244" t="s">
        <v>152</v>
      </c>
      <c r="C4" s="244" t="s">
        <v>152</v>
      </c>
      <c r="D4" s="8" t="s">
        <v>188</v>
      </c>
      <c r="E4" s="5">
        <v>0.8</v>
      </c>
      <c r="F4" s="5" t="s">
        <v>1485</v>
      </c>
      <c r="G4" s="44" t="s">
        <v>958</v>
      </c>
      <c r="H4" s="4"/>
      <c r="I4" s="4"/>
    </row>
    <row r="5" spans="1:9" ht="45">
      <c r="A5" s="249"/>
      <c r="B5" s="245"/>
      <c r="C5" s="246"/>
      <c r="D5" s="102" t="s">
        <v>1440</v>
      </c>
      <c r="E5" s="9">
        <v>1.3</v>
      </c>
      <c r="F5" s="5" t="s">
        <v>1344</v>
      </c>
      <c r="G5" s="5" t="s">
        <v>92</v>
      </c>
      <c r="H5" s="4"/>
      <c r="I5" s="4"/>
    </row>
    <row r="6" spans="1:9" ht="60">
      <c r="A6" s="249"/>
      <c r="B6" s="245"/>
      <c r="C6" s="244" t="s">
        <v>159</v>
      </c>
      <c r="D6" s="8" t="s">
        <v>776</v>
      </c>
      <c r="E6" s="8">
        <v>1.5</v>
      </c>
      <c r="F6" s="6" t="s">
        <v>1403</v>
      </c>
      <c r="G6" s="5" t="s">
        <v>1479</v>
      </c>
      <c r="H6" s="4" t="s">
        <v>1403</v>
      </c>
      <c r="I6" s="7" t="s">
        <v>1398</v>
      </c>
    </row>
    <row r="7" spans="1:9" ht="45">
      <c r="A7" s="249"/>
      <c r="B7" s="245"/>
      <c r="C7" s="245"/>
      <c r="D7" s="5" t="s">
        <v>606</v>
      </c>
      <c r="E7" s="9">
        <v>8</v>
      </c>
      <c r="F7" s="5" t="s">
        <v>487</v>
      </c>
      <c r="G7" s="5" t="s">
        <v>626</v>
      </c>
      <c r="H7" s="5" t="s">
        <v>1426</v>
      </c>
      <c r="I7" s="115" t="s">
        <v>1398</v>
      </c>
    </row>
    <row r="8" spans="1:9" ht="60">
      <c r="A8" s="249"/>
      <c r="B8" s="245"/>
      <c r="C8" s="245"/>
      <c r="D8" s="5" t="s">
        <v>758</v>
      </c>
      <c r="E8" s="9">
        <v>50</v>
      </c>
      <c r="F8" s="4" t="s">
        <v>1403</v>
      </c>
      <c r="G8" s="5" t="s">
        <v>787</v>
      </c>
      <c r="H8" s="4" t="s">
        <v>1403</v>
      </c>
      <c r="I8" s="7" t="s">
        <v>1398</v>
      </c>
    </row>
    <row r="9" spans="1:9" ht="30">
      <c r="A9" s="249"/>
      <c r="B9" s="245"/>
      <c r="C9" s="246"/>
      <c r="D9" s="119" t="s">
        <v>1267</v>
      </c>
      <c r="E9" s="9">
        <v>2</v>
      </c>
      <c r="F9" s="5" t="s">
        <v>1418</v>
      </c>
      <c r="G9" s="5" t="s">
        <v>92</v>
      </c>
      <c r="H9" s="4"/>
      <c r="I9" s="4"/>
    </row>
    <row r="10" spans="1:9" ht="60">
      <c r="A10" s="249"/>
      <c r="B10" s="245"/>
      <c r="C10" s="244" t="s">
        <v>160</v>
      </c>
      <c r="D10" s="5" t="s">
        <v>761</v>
      </c>
      <c r="E10" s="9">
        <v>20</v>
      </c>
      <c r="F10" s="4" t="s">
        <v>1403</v>
      </c>
      <c r="G10" s="5" t="s">
        <v>787</v>
      </c>
      <c r="H10" s="4" t="s">
        <v>1403</v>
      </c>
      <c r="I10" s="7" t="s">
        <v>1398</v>
      </c>
    </row>
    <row r="11" spans="1:9" ht="90">
      <c r="A11" s="249"/>
      <c r="B11" s="245"/>
      <c r="C11" s="246"/>
      <c r="D11" s="59" t="s">
        <v>1008</v>
      </c>
      <c r="E11" s="60">
        <v>1</v>
      </c>
      <c r="F11" s="5" t="s">
        <v>1485</v>
      </c>
      <c r="G11" s="61" t="s">
        <v>1012</v>
      </c>
      <c r="H11" s="4"/>
      <c r="I11" s="4"/>
    </row>
    <row r="12" spans="1:9" ht="60">
      <c r="A12" s="249"/>
      <c r="B12" s="245"/>
      <c r="C12" s="8" t="s">
        <v>158</v>
      </c>
      <c r="D12" s="5" t="s">
        <v>1206</v>
      </c>
      <c r="E12" s="9">
        <v>2</v>
      </c>
      <c r="F12" s="5" t="s">
        <v>1506</v>
      </c>
      <c r="G12" s="61"/>
      <c r="H12" s="4"/>
      <c r="I12" s="4"/>
    </row>
    <row r="13" spans="1:9">
      <c r="A13" s="250"/>
      <c r="B13" s="246"/>
      <c r="C13" s="117" t="s">
        <v>12</v>
      </c>
      <c r="D13" s="11"/>
      <c r="E13" s="13">
        <f>SUM(E4:E12)</f>
        <v>86.6</v>
      </c>
      <c r="F13" s="13"/>
      <c r="G13" s="13"/>
      <c r="H13" s="4"/>
      <c r="I13" s="4"/>
    </row>
    <row r="14" spans="1:9" ht="60">
      <c r="A14" s="251" t="s">
        <v>2</v>
      </c>
      <c r="B14" s="247" t="s">
        <v>153</v>
      </c>
      <c r="C14" s="247" t="s">
        <v>161</v>
      </c>
      <c r="D14" s="23" t="s">
        <v>775</v>
      </c>
      <c r="E14" s="15">
        <v>2</v>
      </c>
      <c r="F14" s="6" t="s">
        <v>1403</v>
      </c>
      <c r="G14" s="5" t="s">
        <v>1479</v>
      </c>
      <c r="H14" s="4" t="s">
        <v>1403</v>
      </c>
      <c r="I14" s="7" t="s">
        <v>1398</v>
      </c>
    </row>
    <row r="15" spans="1:9" ht="90">
      <c r="A15" s="251"/>
      <c r="B15" s="247"/>
      <c r="C15" s="247"/>
      <c r="D15" s="59" t="s">
        <v>1006</v>
      </c>
      <c r="E15" s="60">
        <v>2</v>
      </c>
      <c r="F15" s="5" t="s">
        <v>1485</v>
      </c>
      <c r="G15" s="61" t="s">
        <v>1012</v>
      </c>
      <c r="H15" s="4"/>
      <c r="I15" s="4"/>
    </row>
    <row r="16" spans="1:9" ht="30">
      <c r="A16" s="251"/>
      <c r="B16" s="247"/>
      <c r="C16" s="247"/>
      <c r="D16" s="83" t="s">
        <v>1266</v>
      </c>
      <c r="E16" s="9">
        <v>2</v>
      </c>
      <c r="F16" s="5" t="s">
        <v>1418</v>
      </c>
      <c r="G16" s="5" t="s">
        <v>92</v>
      </c>
      <c r="H16" s="4"/>
      <c r="I16" s="4"/>
    </row>
    <row r="17" spans="1:9" ht="90">
      <c r="A17" s="251"/>
      <c r="B17" s="247"/>
      <c r="C17" s="8" t="s">
        <v>153</v>
      </c>
      <c r="D17" s="8" t="s">
        <v>189</v>
      </c>
      <c r="E17" s="5">
        <v>30</v>
      </c>
      <c r="F17" s="5" t="s">
        <v>1485</v>
      </c>
      <c r="G17" s="44" t="s">
        <v>958</v>
      </c>
      <c r="H17" s="4"/>
      <c r="I17" s="4"/>
    </row>
    <row r="18" spans="1:9">
      <c r="A18" s="251"/>
      <c r="B18" s="247"/>
      <c r="C18" s="8" t="s">
        <v>12</v>
      </c>
      <c r="D18" s="8"/>
      <c r="E18" s="5">
        <f>SUM(E14:E17)</f>
        <v>36</v>
      </c>
      <c r="F18" s="5"/>
      <c r="G18" s="5"/>
      <c r="H18" s="4"/>
      <c r="I18" s="4"/>
    </row>
    <row r="19" spans="1:9" ht="60">
      <c r="A19" s="251" t="s">
        <v>3</v>
      </c>
      <c r="B19" s="247" t="s">
        <v>154</v>
      </c>
      <c r="C19" s="247" t="s">
        <v>154</v>
      </c>
      <c r="D19" s="16" t="s">
        <v>777</v>
      </c>
      <c r="E19" s="15">
        <v>1</v>
      </c>
      <c r="F19" s="6" t="s">
        <v>1403</v>
      </c>
      <c r="G19" s="5" t="s">
        <v>1479</v>
      </c>
      <c r="H19" s="4" t="s">
        <v>1403</v>
      </c>
      <c r="I19" s="7" t="s">
        <v>1398</v>
      </c>
    </row>
    <row r="20" spans="1:9" ht="30">
      <c r="A20" s="251"/>
      <c r="B20" s="247"/>
      <c r="C20" s="247"/>
      <c r="D20" s="16" t="s">
        <v>1115</v>
      </c>
      <c r="E20" s="15">
        <v>1</v>
      </c>
      <c r="F20" s="5" t="s">
        <v>1116</v>
      </c>
      <c r="G20" s="15" t="s">
        <v>1117</v>
      </c>
      <c r="H20" s="4"/>
      <c r="I20" s="4"/>
    </row>
    <row r="21" spans="1:9" ht="90">
      <c r="A21" s="251"/>
      <c r="B21" s="247"/>
      <c r="C21" s="247"/>
      <c r="D21" s="59" t="s">
        <v>1009</v>
      </c>
      <c r="E21" s="60">
        <v>1.5</v>
      </c>
      <c r="F21" s="5" t="s">
        <v>1485</v>
      </c>
      <c r="G21" s="61" t="s">
        <v>1012</v>
      </c>
      <c r="H21" s="4"/>
      <c r="I21" s="4"/>
    </row>
    <row r="22" spans="1:9" ht="60">
      <c r="A22" s="251"/>
      <c r="B22" s="247"/>
      <c r="C22" s="247"/>
      <c r="D22" s="5" t="s">
        <v>1207</v>
      </c>
      <c r="E22" s="9">
        <v>2</v>
      </c>
      <c r="F22" s="5" t="s">
        <v>1506</v>
      </c>
      <c r="G22" s="5" t="s">
        <v>119</v>
      </c>
      <c r="H22" s="4"/>
      <c r="I22" s="4"/>
    </row>
    <row r="23" spans="1:9" ht="30">
      <c r="A23" s="251"/>
      <c r="B23" s="247"/>
      <c r="C23" s="247"/>
      <c r="D23" s="83" t="s">
        <v>1263</v>
      </c>
      <c r="E23" s="9">
        <v>2</v>
      </c>
      <c r="F23" s="5" t="s">
        <v>1418</v>
      </c>
      <c r="G23" s="5" t="s">
        <v>92</v>
      </c>
      <c r="H23" s="4"/>
      <c r="I23" s="4"/>
    </row>
    <row r="24" spans="1:9" ht="60">
      <c r="A24" s="251"/>
      <c r="B24" s="247"/>
      <c r="C24" s="244" t="s">
        <v>162</v>
      </c>
      <c r="D24" s="5" t="s">
        <v>756</v>
      </c>
      <c r="E24" s="9">
        <v>4</v>
      </c>
      <c r="F24" s="4" t="s">
        <v>1403</v>
      </c>
      <c r="G24" s="5" t="s">
        <v>787</v>
      </c>
      <c r="H24" s="4" t="s">
        <v>1403</v>
      </c>
      <c r="I24" s="7" t="s">
        <v>1398</v>
      </c>
    </row>
    <row r="25" spans="1:9" ht="90">
      <c r="A25" s="251"/>
      <c r="B25" s="247"/>
      <c r="C25" s="246"/>
      <c r="D25" s="8" t="s">
        <v>190</v>
      </c>
      <c r="E25" s="46">
        <v>2</v>
      </c>
      <c r="F25" s="5" t="s">
        <v>1485</v>
      </c>
      <c r="G25" s="44" t="s">
        <v>958</v>
      </c>
      <c r="H25" s="4"/>
      <c r="I25" s="4"/>
    </row>
    <row r="26" spans="1:9" ht="90">
      <c r="A26" s="251"/>
      <c r="B26" s="247"/>
      <c r="C26" s="8" t="s">
        <v>163</v>
      </c>
      <c r="D26" s="59" t="s">
        <v>1005</v>
      </c>
      <c r="E26" s="60">
        <v>2</v>
      </c>
      <c r="F26" s="5" t="s">
        <v>1485</v>
      </c>
      <c r="G26" s="61" t="s">
        <v>1012</v>
      </c>
      <c r="H26" s="4"/>
      <c r="I26" s="4"/>
    </row>
    <row r="27" spans="1:9">
      <c r="A27" s="251"/>
      <c r="B27" s="247"/>
      <c r="C27" s="80" t="s">
        <v>12</v>
      </c>
      <c r="D27" s="16"/>
      <c r="E27" s="13">
        <f>SUM(E19:E26)</f>
        <v>15.5</v>
      </c>
      <c r="F27" s="13"/>
      <c r="G27" s="12"/>
      <c r="H27" s="4"/>
      <c r="I27" s="4"/>
    </row>
    <row r="28" spans="1:9" ht="30">
      <c r="A28" s="251" t="s">
        <v>4</v>
      </c>
      <c r="B28" s="247" t="s">
        <v>155</v>
      </c>
      <c r="C28" s="247" t="s">
        <v>155</v>
      </c>
      <c r="D28" s="37" t="s">
        <v>1155</v>
      </c>
      <c r="E28" s="5">
        <v>0.4</v>
      </c>
      <c r="F28" s="5" t="s">
        <v>1116</v>
      </c>
      <c r="G28" s="61" t="s">
        <v>1503</v>
      </c>
      <c r="H28" s="4"/>
      <c r="I28" s="4"/>
    </row>
    <row r="29" spans="1:9" ht="30">
      <c r="A29" s="251"/>
      <c r="B29" s="247"/>
      <c r="C29" s="247"/>
      <c r="D29" s="37" t="s">
        <v>1158</v>
      </c>
      <c r="E29" s="5">
        <v>0.04</v>
      </c>
      <c r="F29" s="5" t="s">
        <v>1116</v>
      </c>
      <c r="G29" s="61" t="s">
        <v>1503</v>
      </c>
      <c r="H29" s="4"/>
      <c r="I29" s="4"/>
    </row>
    <row r="30" spans="1:9" ht="45">
      <c r="A30" s="251"/>
      <c r="B30" s="247"/>
      <c r="C30" s="247"/>
      <c r="D30" s="5" t="s">
        <v>821</v>
      </c>
      <c r="E30" s="9">
        <v>1</v>
      </c>
      <c r="F30" s="5" t="s">
        <v>820</v>
      </c>
      <c r="G30" s="1"/>
      <c r="H30" s="4"/>
      <c r="I30" s="4"/>
    </row>
    <row r="31" spans="1:9" ht="30">
      <c r="A31" s="251"/>
      <c r="B31" s="247"/>
      <c r="C31" s="247"/>
      <c r="D31" s="83" t="s">
        <v>1257</v>
      </c>
      <c r="E31" s="9">
        <v>2</v>
      </c>
      <c r="F31" s="5" t="s">
        <v>1418</v>
      </c>
      <c r="G31" s="5" t="s">
        <v>92</v>
      </c>
      <c r="H31" s="4"/>
      <c r="I31" s="4"/>
    </row>
    <row r="32" spans="1:9" ht="60">
      <c r="A32" s="251"/>
      <c r="B32" s="247"/>
      <c r="C32" s="8" t="s">
        <v>165</v>
      </c>
      <c r="D32" s="5" t="s">
        <v>762</v>
      </c>
      <c r="E32" s="9">
        <v>12</v>
      </c>
      <c r="F32" s="4" t="s">
        <v>1403</v>
      </c>
      <c r="G32" s="5" t="s">
        <v>787</v>
      </c>
      <c r="H32" s="4" t="s">
        <v>1403</v>
      </c>
      <c r="I32" s="7" t="s">
        <v>1398</v>
      </c>
    </row>
    <row r="33" spans="1:9" ht="90">
      <c r="A33" s="251"/>
      <c r="B33" s="247"/>
      <c r="C33" s="8" t="s">
        <v>166</v>
      </c>
      <c r="D33" s="8" t="s">
        <v>191</v>
      </c>
      <c r="E33" s="5">
        <v>0.1</v>
      </c>
      <c r="F33" s="5" t="s">
        <v>1485</v>
      </c>
      <c r="G33" s="44" t="s">
        <v>958</v>
      </c>
      <c r="H33" s="4"/>
      <c r="I33" s="4"/>
    </row>
    <row r="34" spans="1:9" ht="30">
      <c r="A34" s="251"/>
      <c r="B34" s="247"/>
      <c r="C34" s="8" t="s">
        <v>164</v>
      </c>
      <c r="D34" s="83" t="s">
        <v>1256</v>
      </c>
      <c r="E34" s="9">
        <v>2</v>
      </c>
      <c r="F34" s="5" t="s">
        <v>1418</v>
      </c>
      <c r="G34" s="5" t="s">
        <v>92</v>
      </c>
      <c r="H34" s="4"/>
      <c r="I34" s="4"/>
    </row>
    <row r="35" spans="1:9">
      <c r="A35" s="251"/>
      <c r="B35" s="247"/>
      <c r="C35" s="8" t="s">
        <v>12</v>
      </c>
      <c r="D35" s="8"/>
      <c r="E35" s="5">
        <f>SUM(E28:E34)</f>
        <v>17.54</v>
      </c>
      <c r="F35" s="5"/>
      <c r="G35" s="5"/>
      <c r="H35" s="4"/>
      <c r="I35" s="4"/>
    </row>
    <row r="36" spans="1:9" ht="101.25" customHeight="1">
      <c r="A36" s="251" t="s">
        <v>5</v>
      </c>
      <c r="B36" s="247" t="s">
        <v>156</v>
      </c>
      <c r="C36" s="244" t="s">
        <v>156</v>
      </c>
      <c r="D36" s="8" t="s">
        <v>192</v>
      </c>
      <c r="E36" s="5">
        <v>2</v>
      </c>
      <c r="F36" s="5" t="s">
        <v>1485</v>
      </c>
      <c r="G36" s="44" t="s">
        <v>958</v>
      </c>
      <c r="H36" s="4"/>
      <c r="I36" s="4"/>
    </row>
    <row r="37" spans="1:9" ht="41.25" customHeight="1">
      <c r="A37" s="251"/>
      <c r="B37" s="247"/>
      <c r="C37" s="245"/>
      <c r="D37" s="5" t="s">
        <v>608</v>
      </c>
      <c r="E37" s="9">
        <v>0.2</v>
      </c>
      <c r="F37" s="5" t="s">
        <v>1426</v>
      </c>
      <c r="G37" s="5" t="s">
        <v>487</v>
      </c>
      <c r="H37" s="5" t="s">
        <v>1426</v>
      </c>
      <c r="I37" s="115" t="s">
        <v>1398</v>
      </c>
    </row>
    <row r="38" spans="1:9" ht="69.75" customHeight="1">
      <c r="A38" s="251"/>
      <c r="B38" s="247"/>
      <c r="C38" s="246"/>
      <c r="D38" s="5" t="s">
        <v>610</v>
      </c>
      <c r="E38" s="9">
        <v>1</v>
      </c>
      <c r="F38" s="5" t="s">
        <v>1426</v>
      </c>
      <c r="G38" s="5" t="s">
        <v>487</v>
      </c>
      <c r="H38" s="5" t="s">
        <v>1426</v>
      </c>
      <c r="I38" s="115" t="s">
        <v>1398</v>
      </c>
    </row>
    <row r="39" spans="1:9" ht="30">
      <c r="A39" s="251"/>
      <c r="B39" s="247"/>
      <c r="C39" s="8" t="s">
        <v>172</v>
      </c>
      <c r="D39" s="83" t="s">
        <v>1261</v>
      </c>
      <c r="E39" s="9">
        <v>2</v>
      </c>
      <c r="F39" s="5" t="s">
        <v>1418</v>
      </c>
      <c r="G39" s="5" t="s">
        <v>92</v>
      </c>
      <c r="H39" s="4"/>
      <c r="I39" s="4"/>
    </row>
    <row r="40" spans="1:9" ht="47.25">
      <c r="A40" s="251"/>
      <c r="B40" s="247"/>
      <c r="C40" s="247" t="s">
        <v>173</v>
      </c>
      <c r="D40" s="93" t="s">
        <v>1386</v>
      </c>
      <c r="E40" s="103">
        <v>0.8</v>
      </c>
      <c r="F40" s="5" t="s">
        <v>1344</v>
      </c>
      <c r="G40" s="5" t="s">
        <v>92</v>
      </c>
      <c r="H40" s="4"/>
      <c r="I40" s="4"/>
    </row>
    <row r="41" spans="1:9" ht="90">
      <c r="A41" s="251"/>
      <c r="B41" s="247"/>
      <c r="C41" s="247"/>
      <c r="D41" s="59" t="s">
        <v>1007</v>
      </c>
      <c r="E41" s="60">
        <v>4</v>
      </c>
      <c r="F41" s="5" t="s">
        <v>1485</v>
      </c>
      <c r="G41" s="61" t="s">
        <v>1012</v>
      </c>
      <c r="H41" s="4"/>
      <c r="I41" s="4"/>
    </row>
    <row r="42" spans="1:9" ht="30">
      <c r="A42" s="251"/>
      <c r="B42" s="247"/>
      <c r="C42" s="247" t="s">
        <v>174</v>
      </c>
      <c r="D42" s="37" t="s">
        <v>1176</v>
      </c>
      <c r="E42" s="60">
        <v>0.04</v>
      </c>
      <c r="F42" s="5" t="s">
        <v>1116</v>
      </c>
      <c r="G42" s="61" t="s">
        <v>1504</v>
      </c>
      <c r="H42" s="4"/>
      <c r="I42" s="4"/>
    </row>
    <row r="43" spans="1:9" ht="90">
      <c r="A43" s="251"/>
      <c r="B43" s="247"/>
      <c r="C43" s="247"/>
      <c r="D43" s="59" t="s">
        <v>1010</v>
      </c>
      <c r="E43" s="60">
        <v>1</v>
      </c>
      <c r="F43" s="5" t="s">
        <v>1485</v>
      </c>
      <c r="G43" s="61" t="s">
        <v>1012</v>
      </c>
      <c r="H43" s="4"/>
      <c r="I43" s="4"/>
    </row>
    <row r="44" spans="1:9" ht="93.75" customHeight="1">
      <c r="A44" s="251"/>
      <c r="B44" s="247"/>
      <c r="C44" s="247" t="s">
        <v>175</v>
      </c>
      <c r="D44" s="59" t="s">
        <v>1003</v>
      </c>
      <c r="E44" s="60">
        <v>2</v>
      </c>
      <c r="F44" s="5" t="s">
        <v>1485</v>
      </c>
      <c r="G44" s="61" t="s">
        <v>1012</v>
      </c>
      <c r="H44" s="4"/>
      <c r="I44" s="4"/>
    </row>
    <row r="45" spans="1:9" ht="90">
      <c r="A45" s="251"/>
      <c r="B45" s="247"/>
      <c r="C45" s="247"/>
      <c r="D45" s="59" t="s">
        <v>1004</v>
      </c>
      <c r="E45" s="60">
        <v>1</v>
      </c>
      <c r="F45" s="5" t="s">
        <v>1485</v>
      </c>
      <c r="G45" s="61" t="s">
        <v>1012</v>
      </c>
      <c r="H45" s="4"/>
      <c r="I45" s="4"/>
    </row>
    <row r="46" spans="1:9" ht="39.75" customHeight="1">
      <c r="A46" s="251"/>
      <c r="B46" s="247"/>
      <c r="C46" s="247"/>
      <c r="D46" s="102" t="s">
        <v>1416</v>
      </c>
      <c r="E46" s="9">
        <v>0.5</v>
      </c>
      <c r="F46" s="5" t="s">
        <v>1408</v>
      </c>
      <c r="G46" s="5" t="s">
        <v>1409</v>
      </c>
      <c r="H46" s="4"/>
      <c r="I46" s="4"/>
    </row>
    <row r="47" spans="1:9" ht="27.75" customHeight="1">
      <c r="A47" s="251"/>
      <c r="B47" s="247"/>
      <c r="C47" s="247"/>
      <c r="D47" s="83" t="s">
        <v>1262</v>
      </c>
      <c r="E47" s="9">
        <v>2</v>
      </c>
      <c r="F47" s="5" t="s">
        <v>1418</v>
      </c>
      <c r="G47" s="5" t="s">
        <v>92</v>
      </c>
      <c r="H47" s="4"/>
      <c r="I47" s="4"/>
    </row>
    <row r="48" spans="1:9" ht="27.75" customHeight="1">
      <c r="A48" s="251"/>
      <c r="B48" s="247"/>
      <c r="C48" s="80" t="s">
        <v>12</v>
      </c>
      <c r="D48" s="16"/>
      <c r="E48" s="15">
        <f>SUM(E36:E47)</f>
        <v>16.54</v>
      </c>
      <c r="F48" s="5"/>
      <c r="G48" s="12"/>
      <c r="H48" s="4">
        <v>16.54</v>
      </c>
      <c r="I48" s="4"/>
    </row>
    <row r="49" spans="1:9" ht="16.5" customHeight="1">
      <c r="A49" s="251" t="s">
        <v>6</v>
      </c>
      <c r="B49" s="247" t="s">
        <v>157</v>
      </c>
      <c r="C49" s="8" t="s">
        <v>157</v>
      </c>
      <c r="D49" s="8"/>
      <c r="E49" s="5"/>
      <c r="F49" s="5"/>
      <c r="G49" s="5"/>
      <c r="H49" s="4"/>
      <c r="I49" s="4"/>
    </row>
    <row r="50" spans="1:9" ht="90">
      <c r="A50" s="251"/>
      <c r="B50" s="247"/>
      <c r="C50" s="247" t="s">
        <v>178</v>
      </c>
      <c r="D50" s="8" t="s">
        <v>193</v>
      </c>
      <c r="E50" s="5">
        <v>0.8</v>
      </c>
      <c r="F50" s="5" t="s">
        <v>1485</v>
      </c>
      <c r="G50" s="44" t="s">
        <v>958</v>
      </c>
      <c r="H50" s="4"/>
      <c r="I50" s="4"/>
    </row>
    <row r="51" spans="1:9" ht="90">
      <c r="A51" s="251"/>
      <c r="B51" s="247"/>
      <c r="C51" s="247"/>
      <c r="D51" s="35" t="s">
        <v>947</v>
      </c>
      <c r="E51" s="47">
        <v>0.8</v>
      </c>
      <c r="F51" s="5" t="s">
        <v>1485</v>
      </c>
      <c r="G51" s="44" t="s">
        <v>958</v>
      </c>
      <c r="H51" s="4"/>
      <c r="I51" s="4"/>
    </row>
    <row r="52" spans="1:9" ht="30">
      <c r="A52" s="251"/>
      <c r="B52" s="247"/>
      <c r="C52" s="247"/>
      <c r="D52" s="37" t="s">
        <v>1165</v>
      </c>
      <c r="E52" s="47">
        <v>0.15</v>
      </c>
      <c r="F52" s="5" t="s">
        <v>485</v>
      </c>
      <c r="G52" s="5" t="s">
        <v>1503</v>
      </c>
      <c r="H52" s="4"/>
      <c r="I52" s="4"/>
    </row>
    <row r="53" spans="1:9" ht="34.5" customHeight="1">
      <c r="A53" s="251"/>
      <c r="B53" s="247"/>
      <c r="C53" s="8" t="s">
        <v>179</v>
      </c>
      <c r="D53" s="83" t="s">
        <v>1260</v>
      </c>
      <c r="E53" s="9">
        <v>2</v>
      </c>
      <c r="F53" s="5" t="s">
        <v>1418</v>
      </c>
      <c r="G53" s="5" t="s">
        <v>92</v>
      </c>
      <c r="H53" s="4"/>
      <c r="I53" s="4"/>
    </row>
    <row r="54" spans="1:9" ht="32.25" customHeight="1">
      <c r="A54" s="251"/>
      <c r="B54" s="247"/>
      <c r="C54" s="247" t="s">
        <v>180</v>
      </c>
      <c r="D54" s="67" t="s">
        <v>1119</v>
      </c>
      <c r="E54" s="1">
        <v>1</v>
      </c>
      <c r="F54" s="5" t="s">
        <v>1116</v>
      </c>
      <c r="G54" s="15" t="s">
        <v>1117</v>
      </c>
      <c r="H54" s="4"/>
      <c r="I54" s="4"/>
    </row>
    <row r="55" spans="1:9" ht="96" customHeight="1">
      <c r="A55" s="251"/>
      <c r="B55" s="247"/>
      <c r="C55" s="247"/>
      <c r="D55" s="66" t="s">
        <v>1091</v>
      </c>
      <c r="E55" s="64">
        <v>1.1000000000000001</v>
      </c>
      <c r="F55" s="5" t="s">
        <v>1485</v>
      </c>
      <c r="G55" s="5" t="s">
        <v>1078</v>
      </c>
      <c r="H55" s="4"/>
      <c r="I55" s="4"/>
    </row>
    <row r="56" spans="1:9" ht="90.75" customHeight="1">
      <c r="A56" s="251"/>
      <c r="B56" s="247"/>
      <c r="C56" s="247" t="s">
        <v>181</v>
      </c>
      <c r="D56" s="66" t="s">
        <v>1090</v>
      </c>
      <c r="E56" s="64">
        <v>1.2</v>
      </c>
      <c r="F56" s="5" t="s">
        <v>1485</v>
      </c>
      <c r="G56" s="5" t="s">
        <v>1078</v>
      </c>
      <c r="H56" s="4"/>
      <c r="I56" s="4"/>
    </row>
    <row r="57" spans="1:9" ht="29.25" customHeight="1">
      <c r="A57" s="251"/>
      <c r="B57" s="247"/>
      <c r="C57" s="247"/>
      <c r="D57" s="83" t="s">
        <v>1259</v>
      </c>
      <c r="E57" s="9">
        <v>2</v>
      </c>
      <c r="F57" s="5" t="s">
        <v>1418</v>
      </c>
      <c r="G57" s="5" t="s">
        <v>92</v>
      </c>
      <c r="H57" s="4"/>
      <c r="I57" s="4"/>
    </row>
    <row r="58" spans="1:9" ht="29.25" customHeight="1">
      <c r="A58" s="251"/>
      <c r="B58" s="247"/>
      <c r="C58" s="247"/>
      <c r="D58" s="102" t="s">
        <v>1445</v>
      </c>
      <c r="E58" s="9">
        <v>0.5</v>
      </c>
      <c r="F58" s="5" t="s">
        <v>1344</v>
      </c>
      <c r="G58" s="5" t="s">
        <v>92</v>
      </c>
      <c r="H58" s="4"/>
      <c r="I58" s="4"/>
    </row>
    <row r="59" spans="1:9">
      <c r="A59" s="251"/>
      <c r="B59" s="247"/>
      <c r="C59" s="8" t="s">
        <v>12</v>
      </c>
      <c r="D59" s="8"/>
      <c r="E59" s="5">
        <f>SUM(E49:E58)</f>
        <v>9.5500000000000007</v>
      </c>
      <c r="F59" s="5"/>
      <c r="G59" s="5"/>
      <c r="H59" s="4"/>
      <c r="I59" s="4"/>
    </row>
    <row r="60" spans="1:9" ht="75">
      <c r="A60" s="251" t="s">
        <v>7</v>
      </c>
      <c r="B60" s="247" t="s">
        <v>171</v>
      </c>
      <c r="C60" s="247" t="s">
        <v>167</v>
      </c>
      <c r="D60" s="8" t="s">
        <v>641</v>
      </c>
      <c r="E60" s="5">
        <v>4</v>
      </c>
      <c r="F60" s="5" t="s">
        <v>1426</v>
      </c>
      <c r="G60" s="5" t="s">
        <v>642</v>
      </c>
      <c r="H60" s="5" t="s">
        <v>1426</v>
      </c>
      <c r="I60" s="115" t="s">
        <v>1398</v>
      </c>
    </row>
    <row r="61" spans="1:9" ht="75">
      <c r="A61" s="251"/>
      <c r="B61" s="247"/>
      <c r="C61" s="247"/>
      <c r="D61" s="8" t="s">
        <v>643</v>
      </c>
      <c r="E61" s="5">
        <v>7.54</v>
      </c>
      <c r="F61" s="5" t="s">
        <v>1426</v>
      </c>
      <c r="G61" s="5" t="s">
        <v>642</v>
      </c>
      <c r="H61" s="5" t="s">
        <v>1426</v>
      </c>
      <c r="I61" s="115" t="s">
        <v>1398</v>
      </c>
    </row>
    <row r="62" spans="1:9" ht="47.25">
      <c r="A62" s="251"/>
      <c r="B62" s="247"/>
      <c r="C62" s="247"/>
      <c r="D62" s="6" t="s">
        <v>1568</v>
      </c>
      <c r="E62" s="115">
        <v>1.06</v>
      </c>
      <c r="F62" s="182" t="s">
        <v>1565</v>
      </c>
      <c r="G62" s="192" t="s">
        <v>1556</v>
      </c>
      <c r="H62" s="122"/>
      <c r="I62" s="114"/>
    </row>
    <row r="63" spans="1:9" ht="47.25">
      <c r="A63" s="251"/>
      <c r="B63" s="247"/>
      <c r="C63" s="247"/>
      <c r="D63" s="188" t="s">
        <v>1591</v>
      </c>
      <c r="E63" s="9">
        <v>0.5</v>
      </c>
      <c r="F63" s="158" t="s">
        <v>1581</v>
      </c>
      <c r="G63" s="78" t="s">
        <v>1556</v>
      </c>
      <c r="H63" s="122"/>
      <c r="I63" s="114"/>
    </row>
    <row r="64" spans="1:9" ht="47.25">
      <c r="A64" s="251"/>
      <c r="B64" s="247"/>
      <c r="C64" s="247"/>
      <c r="D64" s="124" t="s">
        <v>1650</v>
      </c>
      <c r="E64" s="9">
        <v>2.9</v>
      </c>
      <c r="F64" s="196" t="s">
        <v>1630</v>
      </c>
      <c r="G64" s="42" t="s">
        <v>1556</v>
      </c>
      <c r="H64" s="122"/>
      <c r="I64" s="114"/>
    </row>
    <row r="65" spans="1:9" ht="45">
      <c r="A65" s="251"/>
      <c r="B65" s="247"/>
      <c r="C65" s="247"/>
      <c r="D65" s="196" t="s">
        <v>1656</v>
      </c>
      <c r="E65" s="9">
        <v>2.9</v>
      </c>
      <c r="F65" s="29" t="s">
        <v>1654</v>
      </c>
      <c r="G65" s="42" t="s">
        <v>1556</v>
      </c>
      <c r="H65" s="122"/>
      <c r="I65" s="114"/>
    </row>
    <row r="66" spans="1:9" ht="45">
      <c r="A66" s="251"/>
      <c r="B66" s="247"/>
      <c r="C66" s="247"/>
      <c r="D66" s="196" t="s">
        <v>1660</v>
      </c>
      <c r="E66" s="9">
        <v>2.8</v>
      </c>
      <c r="F66" s="29" t="s">
        <v>1654</v>
      </c>
      <c r="G66" s="42" t="s">
        <v>1556</v>
      </c>
      <c r="H66" s="122"/>
      <c r="I66" s="114"/>
    </row>
    <row r="67" spans="1:9" ht="45">
      <c r="A67" s="251"/>
      <c r="B67" s="247"/>
      <c r="C67" s="247"/>
      <c r="D67" s="196" t="s">
        <v>1677</v>
      </c>
      <c r="E67" s="9">
        <v>3</v>
      </c>
      <c r="F67" s="29" t="s">
        <v>1666</v>
      </c>
      <c r="G67" s="42" t="s">
        <v>1556</v>
      </c>
      <c r="H67" s="122"/>
      <c r="I67" s="114"/>
    </row>
    <row r="68" spans="1:9" ht="45">
      <c r="A68" s="251"/>
      <c r="B68" s="247"/>
      <c r="C68" s="247"/>
      <c r="D68" s="202" t="s">
        <v>1722</v>
      </c>
      <c r="E68" s="9">
        <v>4.6399999999999997</v>
      </c>
      <c r="F68" s="5" t="s">
        <v>1703</v>
      </c>
      <c r="G68" s="42" t="s">
        <v>1556</v>
      </c>
      <c r="H68" s="122"/>
      <c r="I68" s="114"/>
    </row>
    <row r="69" spans="1:9" ht="45">
      <c r="A69" s="251"/>
      <c r="B69" s="247"/>
      <c r="C69" s="247"/>
      <c r="D69" s="202" t="s">
        <v>1727</v>
      </c>
      <c r="E69" s="9">
        <v>8.82</v>
      </c>
      <c r="F69" s="5" t="s">
        <v>1703</v>
      </c>
      <c r="G69" s="42" t="s">
        <v>1556</v>
      </c>
      <c r="H69" s="122"/>
      <c r="I69" s="114"/>
    </row>
    <row r="70" spans="1:9" ht="45">
      <c r="A70" s="251"/>
      <c r="B70" s="247"/>
      <c r="C70" s="247"/>
      <c r="D70" s="202" t="s">
        <v>1874</v>
      </c>
      <c r="E70" s="9">
        <v>1.45</v>
      </c>
      <c r="F70" s="5" t="s">
        <v>1703</v>
      </c>
      <c r="G70" s="42" t="s">
        <v>1556</v>
      </c>
      <c r="H70" s="122"/>
      <c r="I70" s="114"/>
    </row>
    <row r="71" spans="1:9" ht="45">
      <c r="A71" s="251"/>
      <c r="B71" s="247"/>
      <c r="C71" s="247"/>
      <c r="D71" s="202" t="s">
        <v>1752</v>
      </c>
      <c r="E71" s="9">
        <v>2.5</v>
      </c>
      <c r="F71" s="5" t="s">
        <v>1703</v>
      </c>
      <c r="G71" s="42" t="s">
        <v>1556</v>
      </c>
      <c r="H71" s="122"/>
      <c r="I71" s="114"/>
    </row>
    <row r="72" spans="1:9" ht="45">
      <c r="A72" s="251"/>
      <c r="B72" s="247"/>
      <c r="C72" s="247"/>
      <c r="D72" s="202" t="s">
        <v>1771</v>
      </c>
      <c r="E72" s="9">
        <v>2.8</v>
      </c>
      <c r="F72" s="5" t="s">
        <v>1703</v>
      </c>
      <c r="G72" s="42" t="s">
        <v>1556</v>
      </c>
      <c r="H72" s="122"/>
      <c r="I72" s="114"/>
    </row>
    <row r="73" spans="1:9" ht="45">
      <c r="A73" s="251"/>
      <c r="B73" s="247"/>
      <c r="C73" s="247"/>
      <c r="D73" s="6" t="s">
        <v>1880</v>
      </c>
      <c r="E73" s="7">
        <v>2</v>
      </c>
      <c r="F73" s="6" t="s">
        <v>1875</v>
      </c>
      <c r="G73" s="42" t="s">
        <v>1556</v>
      </c>
      <c r="H73" s="122"/>
      <c r="I73" s="114"/>
    </row>
    <row r="74" spans="1:9">
      <c r="A74" s="251"/>
      <c r="B74" s="247"/>
      <c r="C74" s="8" t="s">
        <v>168</v>
      </c>
      <c r="D74" s="8"/>
      <c r="E74" s="5"/>
      <c r="F74" s="5"/>
      <c r="G74" s="5"/>
      <c r="H74" s="4"/>
      <c r="I74" s="4"/>
    </row>
    <row r="75" spans="1:9">
      <c r="A75" s="251"/>
      <c r="B75" s="247"/>
      <c r="C75" s="8" t="s">
        <v>169</v>
      </c>
      <c r="D75" s="8"/>
      <c r="E75" s="5"/>
      <c r="F75" s="5"/>
      <c r="G75" s="5"/>
      <c r="H75" s="4"/>
      <c r="I75" s="4"/>
    </row>
    <row r="76" spans="1:9" ht="30">
      <c r="A76" s="251"/>
      <c r="B76" s="247"/>
      <c r="C76" s="247" t="s">
        <v>170</v>
      </c>
      <c r="D76" s="83" t="s">
        <v>1264</v>
      </c>
      <c r="E76" s="9">
        <v>2</v>
      </c>
      <c r="F76" s="5" t="s">
        <v>1418</v>
      </c>
      <c r="G76" s="5" t="s">
        <v>92</v>
      </c>
      <c r="H76" s="4"/>
      <c r="I76" s="4"/>
    </row>
    <row r="77" spans="1:9" ht="30">
      <c r="A77" s="251"/>
      <c r="B77" s="247"/>
      <c r="C77" s="247"/>
      <c r="D77" s="83" t="s">
        <v>1265</v>
      </c>
      <c r="E77" s="9">
        <v>2</v>
      </c>
      <c r="F77" s="5" t="s">
        <v>1418</v>
      </c>
      <c r="G77" s="5" t="s">
        <v>92</v>
      </c>
      <c r="H77" s="4"/>
      <c r="I77" s="4"/>
    </row>
    <row r="78" spans="1:9">
      <c r="A78" s="251"/>
      <c r="B78" s="247"/>
      <c r="C78" s="8" t="s">
        <v>12</v>
      </c>
      <c r="D78" s="8"/>
      <c r="E78" s="5">
        <f>SUM(E60:E77)</f>
        <v>50.91</v>
      </c>
      <c r="F78" s="5"/>
      <c r="G78" s="5"/>
      <c r="H78" s="4"/>
      <c r="I78" s="4"/>
    </row>
    <row r="79" spans="1:9" ht="90">
      <c r="A79" s="251" t="s">
        <v>9</v>
      </c>
      <c r="B79" s="247" t="s">
        <v>176</v>
      </c>
      <c r="C79" s="247" t="s">
        <v>176</v>
      </c>
      <c r="D79" s="34" t="s">
        <v>1093</v>
      </c>
      <c r="E79" s="64">
        <v>1.25</v>
      </c>
      <c r="F79" s="5" t="s">
        <v>1485</v>
      </c>
      <c r="G79" s="5" t="s">
        <v>1078</v>
      </c>
      <c r="H79" s="4"/>
      <c r="I79" s="4"/>
    </row>
    <row r="80" spans="1:9" ht="30">
      <c r="A80" s="251"/>
      <c r="B80" s="247"/>
      <c r="C80" s="247"/>
      <c r="D80" s="37" t="s">
        <v>1180</v>
      </c>
      <c r="E80" s="64">
        <v>0.45</v>
      </c>
      <c r="F80" s="5" t="s">
        <v>485</v>
      </c>
      <c r="G80" s="5" t="s">
        <v>783</v>
      </c>
      <c r="H80" s="4"/>
      <c r="I80" s="4"/>
    </row>
    <row r="81" spans="1:9" ht="90">
      <c r="A81" s="251"/>
      <c r="B81" s="247"/>
      <c r="C81" s="247"/>
      <c r="D81" s="68" t="s">
        <v>1444</v>
      </c>
      <c r="E81" s="9">
        <v>6</v>
      </c>
      <c r="F81" s="5" t="s">
        <v>1485</v>
      </c>
      <c r="G81" s="44" t="s">
        <v>958</v>
      </c>
      <c r="H81" s="4"/>
      <c r="I81" s="4"/>
    </row>
    <row r="82" spans="1:9" ht="30">
      <c r="A82" s="251"/>
      <c r="B82" s="247"/>
      <c r="C82" s="247"/>
      <c r="D82" s="83" t="s">
        <v>1268</v>
      </c>
      <c r="E82" s="9">
        <v>2</v>
      </c>
      <c r="F82" s="5" t="s">
        <v>1418</v>
      </c>
      <c r="G82" s="5" t="s">
        <v>92</v>
      </c>
      <c r="H82" s="4"/>
      <c r="I82" s="4"/>
    </row>
    <row r="83" spans="1:9" ht="30">
      <c r="A83" s="251"/>
      <c r="B83" s="247"/>
      <c r="C83" s="8" t="s">
        <v>177</v>
      </c>
      <c r="D83" s="8" t="s">
        <v>1526</v>
      </c>
      <c r="E83" s="5">
        <v>61</v>
      </c>
      <c r="F83" s="115" t="s">
        <v>1520</v>
      </c>
      <c r="G83" s="172" t="s">
        <v>1521</v>
      </c>
      <c r="H83" s="6">
        <v>61027890.409999996</v>
      </c>
      <c r="I83" s="4"/>
    </row>
    <row r="84" spans="1:9">
      <c r="A84" s="251"/>
      <c r="B84" s="247"/>
      <c r="C84" s="80" t="s">
        <v>12</v>
      </c>
      <c r="D84" s="11"/>
      <c r="E84" s="104">
        <f>SUM(E79:E83)</f>
        <v>70.7</v>
      </c>
      <c r="F84" s="13"/>
      <c r="G84" s="13"/>
      <c r="H84" s="4"/>
      <c r="I84" s="4"/>
    </row>
    <row r="85" spans="1:9" ht="90">
      <c r="A85" s="251" t="s">
        <v>13</v>
      </c>
      <c r="B85" s="247" t="s">
        <v>183</v>
      </c>
      <c r="C85" s="8" t="s">
        <v>184</v>
      </c>
      <c r="D85" s="66" t="s">
        <v>1092</v>
      </c>
      <c r="E85" s="64">
        <v>1.25</v>
      </c>
      <c r="F85" s="5" t="s">
        <v>1485</v>
      </c>
      <c r="G85" s="5" t="s">
        <v>1078</v>
      </c>
      <c r="H85" s="4"/>
      <c r="I85" s="4"/>
    </row>
    <row r="86" spans="1:9" ht="60">
      <c r="A86" s="251"/>
      <c r="B86" s="247"/>
      <c r="C86" s="244" t="s">
        <v>185</v>
      </c>
      <c r="D86" s="5" t="s">
        <v>755</v>
      </c>
      <c r="E86" s="9">
        <v>6</v>
      </c>
      <c r="F86" s="4" t="s">
        <v>1403</v>
      </c>
      <c r="G86" s="5" t="s">
        <v>787</v>
      </c>
      <c r="H86" s="4" t="s">
        <v>1403</v>
      </c>
      <c r="I86" s="7" t="s">
        <v>1398</v>
      </c>
    </row>
    <row r="87" spans="1:9" ht="90">
      <c r="A87" s="251"/>
      <c r="B87" s="247"/>
      <c r="C87" s="246"/>
      <c r="D87" s="59" t="s">
        <v>1011</v>
      </c>
      <c r="E87" s="60">
        <v>1</v>
      </c>
      <c r="F87" s="5" t="s">
        <v>1485</v>
      </c>
      <c r="G87" s="61" t="s">
        <v>1012</v>
      </c>
      <c r="H87" s="4"/>
      <c r="I87" s="4"/>
    </row>
    <row r="88" spans="1:9" ht="45">
      <c r="A88" s="251"/>
      <c r="B88" s="247"/>
      <c r="C88" s="244" t="s">
        <v>186</v>
      </c>
      <c r="D88" s="102" t="s">
        <v>1352</v>
      </c>
      <c r="E88" s="9">
        <v>0.6</v>
      </c>
      <c r="F88" s="5" t="s">
        <v>1344</v>
      </c>
      <c r="G88" s="5" t="s">
        <v>92</v>
      </c>
      <c r="H88" s="4"/>
      <c r="I88" s="4"/>
    </row>
    <row r="89" spans="1:9" ht="45">
      <c r="A89" s="251"/>
      <c r="B89" s="247"/>
      <c r="C89" s="245"/>
      <c r="D89" s="5" t="s">
        <v>1328</v>
      </c>
      <c r="E89" s="9">
        <v>9</v>
      </c>
      <c r="F89" s="5" t="s">
        <v>1205</v>
      </c>
      <c r="G89" s="1"/>
      <c r="H89" s="4"/>
      <c r="I89" s="4"/>
    </row>
    <row r="90" spans="1:9" ht="90">
      <c r="A90" s="251"/>
      <c r="B90" s="247"/>
      <c r="C90" s="246"/>
      <c r="D90" s="16" t="s">
        <v>1186</v>
      </c>
      <c r="E90" s="15">
        <v>0.5</v>
      </c>
      <c r="F90" s="5" t="s">
        <v>1485</v>
      </c>
      <c r="G90" s="44" t="s">
        <v>1505</v>
      </c>
      <c r="H90" s="4"/>
      <c r="I90" s="4"/>
    </row>
    <row r="91" spans="1:9" ht="30">
      <c r="A91" s="251"/>
      <c r="B91" s="247"/>
      <c r="C91" s="8" t="s">
        <v>187</v>
      </c>
      <c r="D91" s="80" t="s">
        <v>1258</v>
      </c>
      <c r="E91" s="9">
        <v>2</v>
      </c>
      <c r="F91" s="5" t="s">
        <v>1418</v>
      </c>
      <c r="G91" s="5" t="s">
        <v>92</v>
      </c>
      <c r="H91" s="4"/>
      <c r="I91" s="4"/>
    </row>
    <row r="92" spans="1:9">
      <c r="A92" s="251"/>
      <c r="B92" s="247"/>
      <c r="C92" s="8" t="s">
        <v>12</v>
      </c>
      <c r="D92" s="8"/>
      <c r="E92" s="105">
        <f>SUM(E85:E91)</f>
        <v>20.350000000000001</v>
      </c>
      <c r="F92" s="5"/>
      <c r="G92" s="5"/>
      <c r="H92" s="4"/>
      <c r="I92" s="4"/>
    </row>
    <row r="93" spans="1:9" ht="90">
      <c r="A93" s="251" t="s">
        <v>14</v>
      </c>
      <c r="B93" s="247" t="s">
        <v>8</v>
      </c>
      <c r="C93" s="247" t="s">
        <v>8</v>
      </c>
      <c r="D93" s="8" t="s">
        <v>583</v>
      </c>
      <c r="E93" s="5">
        <v>15</v>
      </c>
      <c r="F93" s="5" t="s">
        <v>1485</v>
      </c>
      <c r="G93" s="44" t="s">
        <v>958</v>
      </c>
      <c r="H93" s="4"/>
      <c r="I93" s="4"/>
    </row>
    <row r="94" spans="1:9" ht="30">
      <c r="A94" s="251"/>
      <c r="B94" s="247"/>
      <c r="C94" s="247"/>
      <c r="D94" s="67" t="s">
        <v>1118</v>
      </c>
      <c r="E94" s="1">
        <v>1</v>
      </c>
      <c r="F94" s="5" t="s">
        <v>1116</v>
      </c>
      <c r="G94" s="15" t="s">
        <v>1117</v>
      </c>
      <c r="H94" s="4"/>
      <c r="I94" s="4"/>
    </row>
    <row r="95" spans="1:9" ht="90">
      <c r="A95" s="251"/>
      <c r="B95" s="247"/>
      <c r="C95" s="247"/>
      <c r="D95" s="59" t="s">
        <v>1002</v>
      </c>
      <c r="E95" s="60">
        <v>1</v>
      </c>
      <c r="F95" s="5" t="s">
        <v>1485</v>
      </c>
      <c r="G95" s="61" t="s">
        <v>1012</v>
      </c>
      <c r="H95" s="4"/>
      <c r="I95" s="4"/>
    </row>
    <row r="96" spans="1:9" ht="30">
      <c r="A96" s="251"/>
      <c r="B96" s="247"/>
      <c r="C96" s="247"/>
      <c r="D96" s="83" t="s">
        <v>1269</v>
      </c>
      <c r="E96" s="9">
        <v>2</v>
      </c>
      <c r="F96" s="5" t="s">
        <v>1418</v>
      </c>
      <c r="G96" s="5" t="s">
        <v>92</v>
      </c>
      <c r="H96" s="4"/>
      <c r="I96" s="4"/>
    </row>
    <row r="97" spans="1:9" ht="75">
      <c r="A97" s="251"/>
      <c r="B97" s="247"/>
      <c r="C97" s="247"/>
      <c r="D97" s="5" t="s">
        <v>604</v>
      </c>
      <c r="E97" s="9">
        <v>7</v>
      </c>
      <c r="F97" s="5" t="s">
        <v>1426</v>
      </c>
      <c r="G97" s="5" t="s">
        <v>626</v>
      </c>
      <c r="H97" s="5" t="s">
        <v>1426</v>
      </c>
      <c r="I97" s="115" t="s">
        <v>1398</v>
      </c>
    </row>
    <row r="98" spans="1:9" ht="75">
      <c r="A98" s="251"/>
      <c r="B98" s="247"/>
      <c r="C98" s="247"/>
      <c r="D98" s="5" t="s">
        <v>605</v>
      </c>
      <c r="E98" s="9">
        <v>4</v>
      </c>
      <c r="F98" s="5" t="s">
        <v>1426</v>
      </c>
      <c r="G98" s="5" t="s">
        <v>626</v>
      </c>
      <c r="H98" s="5" t="s">
        <v>1426</v>
      </c>
      <c r="I98" s="115" t="s">
        <v>1398</v>
      </c>
    </row>
    <row r="99" spans="1:9" ht="75">
      <c r="A99" s="251"/>
      <c r="B99" s="247"/>
      <c r="C99" s="247"/>
      <c r="D99" s="5" t="s">
        <v>607</v>
      </c>
      <c r="E99" s="9">
        <v>1.5</v>
      </c>
      <c r="F99" s="5" t="s">
        <v>1426</v>
      </c>
      <c r="G99" s="5" t="s">
        <v>487</v>
      </c>
      <c r="H99" s="5" t="s">
        <v>1426</v>
      </c>
      <c r="I99" s="115" t="s">
        <v>1398</v>
      </c>
    </row>
    <row r="100" spans="1:9" ht="75">
      <c r="A100" s="251"/>
      <c r="B100" s="247"/>
      <c r="C100" s="247"/>
      <c r="D100" s="5" t="s">
        <v>609</v>
      </c>
      <c r="E100" s="9">
        <v>0.5</v>
      </c>
      <c r="F100" s="5" t="s">
        <v>1426</v>
      </c>
      <c r="G100" s="5" t="s">
        <v>487</v>
      </c>
      <c r="H100" s="5" t="s">
        <v>1426</v>
      </c>
      <c r="I100" s="115" t="s">
        <v>1398</v>
      </c>
    </row>
    <row r="101" spans="1:9" ht="75">
      <c r="A101" s="251"/>
      <c r="B101" s="247"/>
      <c r="C101" s="247"/>
      <c r="D101" s="5" t="s">
        <v>872</v>
      </c>
      <c r="E101" s="9">
        <v>0.5</v>
      </c>
      <c r="F101" s="6" t="s">
        <v>1397</v>
      </c>
      <c r="G101" s="25" t="s">
        <v>862</v>
      </c>
      <c r="H101" s="6" t="s">
        <v>1397</v>
      </c>
      <c r="I101" s="6" t="s">
        <v>1398</v>
      </c>
    </row>
    <row r="102" spans="1:9" ht="90">
      <c r="A102" s="251"/>
      <c r="B102" s="247"/>
      <c r="C102" s="8" t="s">
        <v>182</v>
      </c>
      <c r="D102" s="59" t="s">
        <v>1001</v>
      </c>
      <c r="E102" s="60">
        <v>2</v>
      </c>
      <c r="F102" s="5" t="s">
        <v>1485</v>
      </c>
      <c r="G102" s="61" t="s">
        <v>1012</v>
      </c>
      <c r="H102" s="4"/>
      <c r="I102" s="4"/>
    </row>
    <row r="103" spans="1:9">
      <c r="A103" s="251"/>
      <c r="B103" s="247"/>
      <c r="C103" s="1" t="s">
        <v>12</v>
      </c>
      <c r="D103" s="5"/>
      <c r="E103" s="1">
        <f>SUM(E93:E102)</f>
        <v>34.5</v>
      </c>
      <c r="F103" s="5"/>
      <c r="G103" s="1"/>
    </row>
    <row r="104" spans="1:9" ht="60">
      <c r="A104" s="1"/>
      <c r="B104" s="1"/>
      <c r="C104" s="1"/>
      <c r="D104" s="5" t="s">
        <v>757</v>
      </c>
      <c r="E104" s="9">
        <v>6</v>
      </c>
      <c r="F104" s="4" t="s">
        <v>1403</v>
      </c>
      <c r="G104" s="5" t="s">
        <v>787</v>
      </c>
      <c r="H104" s="4" t="s">
        <v>1403</v>
      </c>
      <c r="I104" s="7" t="s">
        <v>1398</v>
      </c>
    </row>
    <row r="105" spans="1:9" ht="60">
      <c r="A105" s="1"/>
      <c r="B105" s="1"/>
      <c r="C105" s="1"/>
      <c r="D105" s="5" t="s">
        <v>759</v>
      </c>
      <c r="E105" s="9">
        <v>5</v>
      </c>
      <c r="F105" s="4" t="s">
        <v>1403</v>
      </c>
      <c r="G105" s="5" t="s">
        <v>787</v>
      </c>
      <c r="H105" s="4" t="s">
        <v>1403</v>
      </c>
      <c r="I105" s="7" t="s">
        <v>1398</v>
      </c>
    </row>
    <row r="106" spans="1:9" ht="60">
      <c r="A106" s="1"/>
      <c r="B106" s="1"/>
      <c r="C106" s="1"/>
      <c r="D106" s="120" t="s">
        <v>760</v>
      </c>
      <c r="E106" s="9">
        <v>45</v>
      </c>
      <c r="F106" s="4" t="s">
        <v>1403</v>
      </c>
      <c r="G106" s="5" t="s">
        <v>787</v>
      </c>
      <c r="H106" s="4" t="s">
        <v>1403</v>
      </c>
      <c r="I106" s="7" t="s">
        <v>1398</v>
      </c>
    </row>
    <row r="107" spans="1:9" ht="60">
      <c r="A107" s="1"/>
      <c r="B107" s="1"/>
      <c r="C107" s="1"/>
      <c r="D107" s="5" t="s">
        <v>1443</v>
      </c>
      <c r="E107" s="9">
        <v>9</v>
      </c>
      <c r="F107" s="4" t="s">
        <v>1403</v>
      </c>
      <c r="G107" s="5" t="s">
        <v>787</v>
      </c>
      <c r="H107" s="4" t="s">
        <v>1403</v>
      </c>
      <c r="I107" s="7" t="s">
        <v>1398</v>
      </c>
    </row>
    <row r="108" spans="1:9" ht="75">
      <c r="A108" s="1"/>
      <c r="B108" s="1"/>
      <c r="C108" s="266" t="s">
        <v>660</v>
      </c>
      <c r="D108" s="5" t="s">
        <v>656</v>
      </c>
      <c r="E108" s="9">
        <v>0.8</v>
      </c>
      <c r="F108" s="5" t="s">
        <v>1426</v>
      </c>
      <c r="G108" s="5" t="s">
        <v>657</v>
      </c>
      <c r="H108" s="5" t="s">
        <v>1426</v>
      </c>
      <c r="I108" s="115" t="s">
        <v>1398</v>
      </c>
    </row>
    <row r="109" spans="1:9" ht="75">
      <c r="A109" s="1"/>
      <c r="B109" s="1"/>
      <c r="C109" s="266"/>
      <c r="D109" s="5" t="s">
        <v>661</v>
      </c>
      <c r="E109" s="9">
        <v>0.75</v>
      </c>
      <c r="F109" s="5" t="s">
        <v>1426</v>
      </c>
      <c r="G109" s="5" t="s">
        <v>657</v>
      </c>
      <c r="H109" s="5" t="s">
        <v>1426</v>
      </c>
      <c r="I109" s="115" t="s">
        <v>1398</v>
      </c>
    </row>
    <row r="110" spans="1:9" ht="75">
      <c r="A110" s="1"/>
      <c r="B110" s="1"/>
      <c r="C110" s="266"/>
      <c r="D110" s="5" t="s">
        <v>658</v>
      </c>
      <c r="E110" s="9">
        <v>0.75</v>
      </c>
      <c r="F110" s="5" t="s">
        <v>1426</v>
      </c>
      <c r="G110" s="5" t="s">
        <v>657</v>
      </c>
      <c r="H110" s="5" t="s">
        <v>1426</v>
      </c>
      <c r="I110" s="115" t="s">
        <v>1398</v>
      </c>
    </row>
    <row r="111" spans="1:9" ht="75">
      <c r="A111" s="1"/>
      <c r="B111" s="1"/>
      <c r="C111" s="266"/>
      <c r="D111" s="5" t="s">
        <v>659</v>
      </c>
      <c r="E111" s="9">
        <v>0.1</v>
      </c>
      <c r="F111" s="5" t="s">
        <v>1426</v>
      </c>
      <c r="G111" s="5" t="s">
        <v>657</v>
      </c>
      <c r="H111" s="5" t="s">
        <v>1426</v>
      </c>
      <c r="I111" s="115" t="s">
        <v>1398</v>
      </c>
    </row>
    <row r="112" spans="1:9" ht="45">
      <c r="A112" s="1"/>
      <c r="B112" s="118"/>
      <c r="C112" s="1"/>
      <c r="D112" s="121" t="s">
        <v>1391</v>
      </c>
      <c r="E112" s="9">
        <v>0.6</v>
      </c>
      <c r="F112" s="5" t="s">
        <v>1344</v>
      </c>
      <c r="G112" s="5" t="s">
        <v>92</v>
      </c>
      <c r="H112" s="7" t="s">
        <v>1446</v>
      </c>
    </row>
    <row r="113" spans="1:9" ht="75">
      <c r="A113" s="1"/>
      <c r="B113" s="82"/>
      <c r="C113" s="1"/>
      <c r="D113" s="102" t="s">
        <v>1393</v>
      </c>
      <c r="E113" s="9">
        <v>10</v>
      </c>
      <c r="F113" s="5" t="s">
        <v>1441</v>
      </c>
      <c r="G113" s="5" t="s">
        <v>1392</v>
      </c>
    </row>
    <row r="114" spans="1:9" ht="30">
      <c r="A114" s="1"/>
      <c r="B114" s="168"/>
      <c r="C114" s="1"/>
      <c r="D114" s="102" t="s">
        <v>1527</v>
      </c>
      <c r="E114" s="9">
        <v>13</v>
      </c>
      <c r="F114" s="115" t="s">
        <v>1520</v>
      </c>
      <c r="G114" s="172" t="s">
        <v>1521</v>
      </c>
      <c r="H114" s="7">
        <v>13175763.720000001</v>
      </c>
      <c r="I114">
        <f>H114/1000000</f>
        <v>13.175763720000001</v>
      </c>
    </row>
    <row r="115" spans="1:9" ht="45" customHeight="1">
      <c r="A115" s="1"/>
      <c r="B115" s="205"/>
      <c r="C115" s="239" t="s">
        <v>1922</v>
      </c>
      <c r="D115" s="207" t="s">
        <v>1899</v>
      </c>
      <c r="E115" s="260">
        <v>63.5</v>
      </c>
      <c r="F115" s="263" t="s">
        <v>1919</v>
      </c>
      <c r="G115" s="234" t="s">
        <v>1504</v>
      </c>
      <c r="H115" s="7"/>
    </row>
    <row r="116" spans="1:9">
      <c r="A116" s="1"/>
      <c r="B116" s="205"/>
      <c r="C116" s="240"/>
      <c r="D116" s="207" t="s">
        <v>1898</v>
      </c>
      <c r="E116" s="261"/>
      <c r="F116" s="264"/>
      <c r="G116" s="235"/>
      <c r="H116" s="7"/>
    </row>
    <row r="117" spans="1:9" ht="45">
      <c r="A117" s="1"/>
      <c r="B117" s="205"/>
      <c r="C117" s="240"/>
      <c r="D117" s="207" t="s">
        <v>1900</v>
      </c>
      <c r="E117" s="262"/>
      <c r="F117" s="265"/>
      <c r="G117" s="236"/>
      <c r="H117" s="7"/>
    </row>
    <row r="118" spans="1:9" ht="30">
      <c r="A118" s="1"/>
      <c r="B118" s="208"/>
      <c r="C118" s="210"/>
      <c r="D118" s="220" t="s">
        <v>1936</v>
      </c>
      <c r="E118" s="217"/>
      <c r="F118" s="219"/>
      <c r="G118" s="209"/>
      <c r="H118" s="7"/>
    </row>
    <row r="119" spans="1:9">
      <c r="A119" s="1"/>
      <c r="B119" s="1"/>
      <c r="C119" s="1" t="s">
        <v>12</v>
      </c>
      <c r="D119" s="5"/>
      <c r="E119" s="1">
        <f>SUM(E104:E115)</f>
        <v>154.5</v>
      </c>
      <c r="F119" s="5"/>
      <c r="G119" s="1"/>
    </row>
    <row r="120" spans="1:9">
      <c r="A120" s="1"/>
      <c r="B120" s="1"/>
      <c r="C120" s="1" t="s">
        <v>150</v>
      </c>
      <c r="D120" s="5"/>
      <c r="E120" s="106">
        <f>E119+E103+E92+E84+E78+E59+E48+E35+E27+E18+E13</f>
        <v>512.69000000000005</v>
      </c>
      <c r="F120" s="5"/>
      <c r="G120" s="1"/>
    </row>
    <row r="122" spans="1:9">
      <c r="D122" s="216"/>
      <c r="F122" s="115"/>
      <c r="G122" s="172"/>
    </row>
  </sheetData>
  <mergeCells count="47">
    <mergeCell ref="A1:G1"/>
    <mergeCell ref="A2:G2"/>
    <mergeCell ref="A36:A48"/>
    <mergeCell ref="B36:B48"/>
    <mergeCell ref="A4:A13"/>
    <mergeCell ref="A14:A18"/>
    <mergeCell ref="B14:B18"/>
    <mergeCell ref="C6:C9"/>
    <mergeCell ref="B4:B13"/>
    <mergeCell ref="C14:C16"/>
    <mergeCell ref="C19:C23"/>
    <mergeCell ref="C28:C31"/>
    <mergeCell ref="C42:C43"/>
    <mergeCell ref="C40:C41"/>
    <mergeCell ref="C24:C25"/>
    <mergeCell ref="C4:C5"/>
    <mergeCell ref="A49:A59"/>
    <mergeCell ref="B49:B59"/>
    <mergeCell ref="A19:A27"/>
    <mergeCell ref="B19:B27"/>
    <mergeCell ref="A28:A35"/>
    <mergeCell ref="B28:B35"/>
    <mergeCell ref="A85:A92"/>
    <mergeCell ref="A93:A103"/>
    <mergeCell ref="B85:B92"/>
    <mergeCell ref="B93:B103"/>
    <mergeCell ref="A60:A78"/>
    <mergeCell ref="B60:B78"/>
    <mergeCell ref="A79:A84"/>
    <mergeCell ref="B79:B84"/>
    <mergeCell ref="C93:C101"/>
    <mergeCell ref="C79:C82"/>
    <mergeCell ref="C44:C47"/>
    <mergeCell ref="C54:C55"/>
    <mergeCell ref="C50:C52"/>
    <mergeCell ref="C36:C38"/>
    <mergeCell ref="C10:C11"/>
    <mergeCell ref="C86:C87"/>
    <mergeCell ref="C88:C90"/>
    <mergeCell ref="C56:C58"/>
    <mergeCell ref="C76:C77"/>
    <mergeCell ref="C60:C73"/>
    <mergeCell ref="C115:C117"/>
    <mergeCell ref="E115:E117"/>
    <mergeCell ref="F115:F117"/>
    <mergeCell ref="G115:G117"/>
    <mergeCell ref="C108:C111"/>
  </mergeCells>
  <pageMargins left="0.7" right="0.28000000000000003" top="0.43" bottom="0.42" header="0.3" footer="0.3"/>
  <pageSetup paperSize="9"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23"/>
  <sheetViews>
    <sheetView workbookViewId="0">
      <selection activeCell="D129" sqref="D129"/>
    </sheetView>
  </sheetViews>
  <sheetFormatPr defaultRowHeight="15"/>
  <cols>
    <col min="1" max="1" width="6.28515625" customWidth="1"/>
    <col min="2" max="2" width="16.140625" customWidth="1"/>
    <col min="3" max="3" width="18.140625" customWidth="1"/>
    <col min="4" max="4" width="47.28515625" style="6" customWidth="1"/>
    <col min="5" max="5" width="11.5703125" customWidth="1"/>
    <col min="6" max="6" width="25" customWidth="1"/>
    <col min="7" max="7" width="17.28515625" customWidth="1"/>
    <col min="8" max="8" width="30.42578125" customWidth="1"/>
    <col min="9" max="9" width="17" customWidth="1"/>
    <col min="10" max="10" width="15.28515625" customWidth="1"/>
  </cols>
  <sheetData>
    <row r="1" spans="1:9" ht="21">
      <c r="A1" s="255" t="s">
        <v>55</v>
      </c>
      <c r="B1" s="256"/>
      <c r="C1" s="256"/>
      <c r="D1" s="256"/>
      <c r="E1" s="256"/>
      <c r="F1" s="256"/>
      <c r="G1" s="256"/>
    </row>
    <row r="2" spans="1:9" ht="15.75">
      <c r="A2" s="257" t="s">
        <v>194</v>
      </c>
      <c r="B2" s="257"/>
      <c r="C2" s="257"/>
      <c r="D2" s="257"/>
      <c r="E2" s="257"/>
      <c r="F2" s="257"/>
      <c r="G2" s="257"/>
    </row>
    <row r="3" spans="1:9" s="7" customFormat="1" ht="30" customHeight="1">
      <c r="A3" s="3" t="s">
        <v>0</v>
      </c>
      <c r="B3" s="3" t="s">
        <v>10</v>
      </c>
      <c r="C3" s="3" t="s">
        <v>11</v>
      </c>
      <c r="D3" s="3" t="s">
        <v>54</v>
      </c>
      <c r="E3" s="3" t="s">
        <v>59</v>
      </c>
      <c r="F3" s="3" t="s">
        <v>1473</v>
      </c>
      <c r="G3" s="3" t="s">
        <v>57</v>
      </c>
      <c r="H3" s="6"/>
      <c r="I3" s="6"/>
    </row>
    <row r="4" spans="1:9" ht="92.25" customHeight="1">
      <c r="A4" s="251" t="s">
        <v>1</v>
      </c>
      <c r="B4" s="247" t="s">
        <v>205</v>
      </c>
      <c r="C4" s="8" t="s">
        <v>205</v>
      </c>
      <c r="D4" s="5" t="s">
        <v>600</v>
      </c>
      <c r="E4" s="9">
        <v>2</v>
      </c>
      <c r="F4" s="5" t="s">
        <v>1426</v>
      </c>
      <c r="G4" s="5" t="s">
        <v>487</v>
      </c>
      <c r="H4" s="5" t="s">
        <v>1426</v>
      </c>
      <c r="I4" s="115" t="s">
        <v>1398</v>
      </c>
    </row>
    <row r="5" spans="1:9" ht="98.25" customHeight="1">
      <c r="A5" s="251"/>
      <c r="B5" s="247"/>
      <c r="C5" s="8" t="s">
        <v>206</v>
      </c>
      <c r="D5" s="68" t="s">
        <v>1187</v>
      </c>
      <c r="E5" s="69">
        <v>2</v>
      </c>
      <c r="F5" s="5" t="s">
        <v>1485</v>
      </c>
      <c r="G5" s="44" t="s">
        <v>958</v>
      </c>
      <c r="H5" s="4"/>
      <c r="I5" s="4"/>
    </row>
    <row r="6" spans="1:9" ht="54.75" customHeight="1">
      <c r="A6" s="251"/>
      <c r="B6" s="247"/>
      <c r="C6" s="8" t="s">
        <v>207</v>
      </c>
      <c r="D6" s="83" t="s">
        <v>1270</v>
      </c>
      <c r="E6" s="64">
        <v>2</v>
      </c>
      <c r="F6" s="5" t="s">
        <v>1418</v>
      </c>
      <c r="G6" s="8" t="s">
        <v>92</v>
      </c>
      <c r="H6" s="4"/>
      <c r="I6" s="4"/>
    </row>
    <row r="7" spans="1:9" ht="95.25" customHeight="1">
      <c r="A7" s="251"/>
      <c r="B7" s="247"/>
      <c r="C7" s="247" t="s">
        <v>208</v>
      </c>
      <c r="D7" s="59" t="s">
        <v>1025</v>
      </c>
      <c r="E7" s="60">
        <v>1</v>
      </c>
      <c r="F7" s="5" t="s">
        <v>1485</v>
      </c>
      <c r="G7" s="61" t="s">
        <v>1031</v>
      </c>
      <c r="H7" s="4"/>
      <c r="I7" s="4"/>
    </row>
    <row r="8" spans="1:9" ht="107.25" customHeight="1">
      <c r="A8" s="251"/>
      <c r="B8" s="247"/>
      <c r="C8" s="247"/>
      <c r="D8" s="40" t="s">
        <v>905</v>
      </c>
      <c r="E8" s="46">
        <v>2.5</v>
      </c>
      <c r="F8" s="5" t="s">
        <v>1485</v>
      </c>
      <c r="G8" s="44" t="s">
        <v>958</v>
      </c>
      <c r="H8" s="4"/>
      <c r="I8" s="4"/>
    </row>
    <row r="9" spans="1:9" ht="17.25" customHeight="1">
      <c r="A9" s="251"/>
      <c r="B9" s="247"/>
      <c r="C9" s="8" t="s">
        <v>12</v>
      </c>
      <c r="D9" s="8"/>
      <c r="E9" s="90">
        <f>SUM(E4:E8)</f>
        <v>9.5</v>
      </c>
      <c r="F9" s="5"/>
      <c r="G9" s="5"/>
      <c r="H9" s="4"/>
      <c r="I9" s="4"/>
    </row>
    <row r="10" spans="1:9" ht="75">
      <c r="A10" s="251" t="s">
        <v>2</v>
      </c>
      <c r="B10" s="247" t="s">
        <v>195</v>
      </c>
      <c r="C10" s="244" t="s">
        <v>209</v>
      </c>
      <c r="D10" s="5" t="s">
        <v>602</v>
      </c>
      <c r="E10" s="9">
        <v>8</v>
      </c>
      <c r="F10" s="5" t="s">
        <v>1426</v>
      </c>
      <c r="G10" s="5" t="s">
        <v>626</v>
      </c>
      <c r="H10" s="5" t="s">
        <v>1426</v>
      </c>
      <c r="I10" s="115" t="s">
        <v>1398</v>
      </c>
    </row>
    <row r="11" spans="1:9" ht="90">
      <c r="A11" s="251"/>
      <c r="B11" s="247"/>
      <c r="C11" s="246"/>
      <c r="D11" s="68" t="s">
        <v>1188</v>
      </c>
      <c r="E11" s="69">
        <v>3</v>
      </c>
      <c r="F11" s="5" t="s">
        <v>1485</v>
      </c>
      <c r="G11" s="44" t="s">
        <v>958</v>
      </c>
      <c r="H11" s="122"/>
      <c r="I11" s="114"/>
    </row>
    <row r="12" spans="1:9" ht="90">
      <c r="A12" s="251"/>
      <c r="B12" s="247"/>
      <c r="C12" s="247" t="s">
        <v>210</v>
      </c>
      <c r="D12" s="59" t="s">
        <v>1018</v>
      </c>
      <c r="E12" s="60">
        <v>1</v>
      </c>
      <c r="F12" s="5" t="s">
        <v>1485</v>
      </c>
      <c r="G12" s="61" t="s">
        <v>1031</v>
      </c>
      <c r="H12" s="4"/>
      <c r="I12" s="4"/>
    </row>
    <row r="13" spans="1:9" ht="30">
      <c r="A13" s="251"/>
      <c r="B13" s="247"/>
      <c r="C13" s="247"/>
      <c r="D13" s="37" t="s">
        <v>1173</v>
      </c>
      <c r="E13" s="60">
        <v>0.04</v>
      </c>
      <c r="F13" s="5" t="s">
        <v>1116</v>
      </c>
      <c r="G13" s="61" t="s">
        <v>1504</v>
      </c>
      <c r="H13" s="4"/>
      <c r="I13" s="4"/>
    </row>
    <row r="14" spans="1:9" ht="30">
      <c r="A14" s="251"/>
      <c r="B14" s="247"/>
      <c r="C14" s="247"/>
      <c r="D14" s="37" t="s">
        <v>1164</v>
      </c>
      <c r="E14" s="60">
        <v>0.15</v>
      </c>
      <c r="F14" s="5" t="s">
        <v>485</v>
      </c>
      <c r="G14" s="5" t="s">
        <v>1503</v>
      </c>
      <c r="H14" s="4"/>
      <c r="I14" s="4"/>
    </row>
    <row r="15" spans="1:9" ht="30">
      <c r="A15" s="251"/>
      <c r="B15" s="247"/>
      <c r="C15" s="247"/>
      <c r="D15" s="83" t="s">
        <v>1281</v>
      </c>
      <c r="E15" s="64">
        <v>2</v>
      </c>
      <c r="F15" s="5" t="s">
        <v>1418</v>
      </c>
      <c r="G15" s="8" t="s">
        <v>92</v>
      </c>
      <c r="H15" s="4"/>
      <c r="I15" s="4"/>
    </row>
    <row r="16" spans="1:9" ht="30">
      <c r="A16" s="251"/>
      <c r="B16" s="247"/>
      <c r="C16" s="8" t="s">
        <v>211</v>
      </c>
      <c r="D16" s="83" t="s">
        <v>1271</v>
      </c>
      <c r="E16" s="64">
        <v>2</v>
      </c>
      <c r="F16" s="5" t="s">
        <v>1418</v>
      </c>
      <c r="G16" s="8" t="s">
        <v>92</v>
      </c>
      <c r="H16" s="4"/>
      <c r="I16" s="4"/>
    </row>
    <row r="17" spans="1:9" ht="90">
      <c r="A17" s="251"/>
      <c r="B17" s="247"/>
      <c r="C17" s="8" t="s">
        <v>212</v>
      </c>
      <c r="D17" s="59" t="s">
        <v>1017</v>
      </c>
      <c r="E17" s="60">
        <v>2</v>
      </c>
      <c r="F17" s="5" t="s">
        <v>1485</v>
      </c>
      <c r="G17" s="61" t="s">
        <v>1031</v>
      </c>
      <c r="H17" s="4"/>
      <c r="I17" s="4"/>
    </row>
    <row r="18" spans="1:9" ht="90">
      <c r="A18" s="251"/>
      <c r="B18" s="247"/>
      <c r="C18" s="247" t="s">
        <v>213</v>
      </c>
      <c r="D18" s="59" t="s">
        <v>1027</v>
      </c>
      <c r="E18" s="60">
        <v>1</v>
      </c>
      <c r="F18" s="5" t="s">
        <v>1485</v>
      </c>
      <c r="G18" s="61" t="s">
        <v>1031</v>
      </c>
      <c r="H18" s="4"/>
      <c r="I18" s="4"/>
    </row>
    <row r="19" spans="1:9" ht="30">
      <c r="A19" s="251"/>
      <c r="B19" s="247"/>
      <c r="C19" s="247"/>
      <c r="D19" s="83" t="s">
        <v>1284</v>
      </c>
      <c r="E19" s="64">
        <v>2</v>
      </c>
      <c r="F19" s="5" t="s">
        <v>1418</v>
      </c>
      <c r="G19" s="8" t="s">
        <v>92</v>
      </c>
      <c r="H19" s="4"/>
      <c r="I19" s="4"/>
    </row>
    <row r="20" spans="1:9">
      <c r="A20" s="251"/>
      <c r="B20" s="247"/>
      <c r="C20" s="8" t="s">
        <v>12</v>
      </c>
      <c r="D20" s="8"/>
      <c r="E20" s="90">
        <f>SUM(E10:E19)</f>
        <v>21.189999999999998</v>
      </c>
      <c r="F20" s="5"/>
      <c r="G20" s="5"/>
      <c r="H20" s="4">
        <v>21.19</v>
      </c>
      <c r="I20" s="4"/>
    </row>
    <row r="21" spans="1:9" ht="90">
      <c r="A21" s="251" t="s">
        <v>3</v>
      </c>
      <c r="B21" s="247" t="s">
        <v>196</v>
      </c>
      <c r="C21" s="247" t="s">
        <v>196</v>
      </c>
      <c r="D21" s="59" t="s">
        <v>1029</v>
      </c>
      <c r="E21" s="62">
        <v>5</v>
      </c>
      <c r="F21" s="5" t="s">
        <v>1485</v>
      </c>
      <c r="G21" s="61" t="s">
        <v>1031</v>
      </c>
      <c r="H21" s="4"/>
      <c r="I21" s="4"/>
    </row>
    <row r="22" spans="1:9" ht="30">
      <c r="A22" s="251"/>
      <c r="B22" s="247"/>
      <c r="C22" s="247"/>
      <c r="D22" s="59" t="s">
        <v>1122</v>
      </c>
      <c r="E22" s="62">
        <v>0.8</v>
      </c>
      <c r="F22" s="5" t="s">
        <v>1116</v>
      </c>
      <c r="G22" s="15" t="s">
        <v>1117</v>
      </c>
      <c r="H22" s="4"/>
      <c r="I22" s="4"/>
    </row>
    <row r="23" spans="1:9">
      <c r="A23" s="251"/>
      <c r="B23" s="247"/>
      <c r="C23" s="8" t="s">
        <v>214</v>
      </c>
      <c r="D23" s="8"/>
      <c r="E23" s="8"/>
      <c r="F23" s="8"/>
      <c r="G23" s="8"/>
      <c r="H23" s="4"/>
      <c r="I23" s="4"/>
    </row>
    <row r="24" spans="1:9" ht="30">
      <c r="A24" s="251"/>
      <c r="B24" s="247"/>
      <c r="C24" s="8" t="s">
        <v>215</v>
      </c>
      <c r="D24" s="83" t="s">
        <v>1272</v>
      </c>
      <c r="E24" s="64">
        <v>2</v>
      </c>
      <c r="F24" s="5" t="s">
        <v>1418</v>
      </c>
      <c r="G24" s="8" t="s">
        <v>92</v>
      </c>
      <c r="H24" s="4"/>
      <c r="I24" s="4"/>
    </row>
    <row r="25" spans="1:9">
      <c r="A25" s="251"/>
      <c r="B25" s="247"/>
      <c r="C25" s="80" t="s">
        <v>12</v>
      </c>
      <c r="D25" s="11"/>
      <c r="E25" s="88">
        <f>SUM(E21:E24)</f>
        <v>7.8</v>
      </c>
      <c r="F25" s="13"/>
      <c r="G25" s="13"/>
      <c r="H25" s="4"/>
      <c r="I25" s="4"/>
    </row>
    <row r="26" spans="1:9" ht="90">
      <c r="A26" s="251" t="s">
        <v>4</v>
      </c>
      <c r="B26" s="247" t="s">
        <v>204</v>
      </c>
      <c r="C26" s="244" t="s">
        <v>204</v>
      </c>
      <c r="D26" s="59" t="s">
        <v>1030</v>
      </c>
      <c r="E26" s="62">
        <v>2</v>
      </c>
      <c r="F26" s="5" t="s">
        <v>1485</v>
      </c>
      <c r="G26" s="61" t="s">
        <v>1031</v>
      </c>
      <c r="H26" s="4"/>
      <c r="I26" s="4"/>
    </row>
    <row r="27" spans="1:9" ht="63">
      <c r="A27" s="251"/>
      <c r="B27" s="247"/>
      <c r="C27" s="245"/>
      <c r="D27" s="20" t="s">
        <v>1355</v>
      </c>
      <c r="E27" s="9">
        <v>0.8</v>
      </c>
      <c r="F27" s="5" t="s">
        <v>1344</v>
      </c>
      <c r="G27" s="8" t="s">
        <v>92</v>
      </c>
      <c r="H27" s="4"/>
      <c r="I27" s="4"/>
    </row>
    <row r="28" spans="1:9" ht="75">
      <c r="A28" s="251"/>
      <c r="B28" s="247"/>
      <c r="C28" s="246"/>
      <c r="D28" s="5" t="s">
        <v>871</v>
      </c>
      <c r="E28" s="9">
        <v>0.5</v>
      </c>
      <c r="F28" s="6" t="s">
        <v>1397</v>
      </c>
      <c r="G28" s="25" t="s">
        <v>862</v>
      </c>
      <c r="H28" s="6" t="s">
        <v>1397</v>
      </c>
      <c r="I28" s="6" t="s">
        <v>1398</v>
      </c>
    </row>
    <row r="29" spans="1:9" ht="90">
      <c r="A29" s="251"/>
      <c r="B29" s="247"/>
      <c r="C29" s="247" t="s">
        <v>216</v>
      </c>
      <c r="D29" s="34" t="s">
        <v>1110</v>
      </c>
      <c r="E29" s="5">
        <v>2</v>
      </c>
      <c r="F29" s="5" t="s">
        <v>1485</v>
      </c>
      <c r="G29" s="5" t="s">
        <v>1078</v>
      </c>
      <c r="H29" s="4"/>
      <c r="I29" s="4"/>
    </row>
    <row r="30" spans="1:9" ht="30">
      <c r="A30" s="251"/>
      <c r="B30" s="247"/>
      <c r="C30" s="247"/>
      <c r="D30" s="83" t="s">
        <v>1283</v>
      </c>
      <c r="E30" s="64">
        <v>2</v>
      </c>
      <c r="F30" s="5" t="s">
        <v>1418</v>
      </c>
      <c r="G30" s="8" t="s">
        <v>92</v>
      </c>
      <c r="H30" s="4"/>
      <c r="I30" s="4"/>
    </row>
    <row r="31" spans="1:9" ht="81" customHeight="1">
      <c r="A31" s="251"/>
      <c r="B31" s="247"/>
      <c r="C31" s="247" t="s">
        <v>217</v>
      </c>
      <c r="D31" s="8" t="s">
        <v>654</v>
      </c>
      <c r="E31" s="9">
        <v>10</v>
      </c>
      <c r="F31" s="5" t="s">
        <v>1426</v>
      </c>
      <c r="G31" s="8" t="s">
        <v>92</v>
      </c>
      <c r="H31" s="5" t="s">
        <v>1426</v>
      </c>
      <c r="I31" s="115" t="s">
        <v>1398</v>
      </c>
    </row>
    <row r="32" spans="1:9" ht="75" customHeight="1">
      <c r="A32" s="251"/>
      <c r="B32" s="247"/>
      <c r="C32" s="247"/>
      <c r="D32" s="8" t="s">
        <v>655</v>
      </c>
      <c r="E32" s="5">
        <v>5</v>
      </c>
      <c r="F32" s="5" t="s">
        <v>1426</v>
      </c>
      <c r="G32" s="8" t="s">
        <v>92</v>
      </c>
      <c r="H32" s="5" t="s">
        <v>1426</v>
      </c>
      <c r="I32" s="115" t="s">
        <v>1398</v>
      </c>
    </row>
    <row r="33" spans="1:9" ht="93" customHeight="1">
      <c r="A33" s="251"/>
      <c r="B33" s="247"/>
      <c r="C33" s="247"/>
      <c r="D33" s="68" t="s">
        <v>1189</v>
      </c>
      <c r="E33" s="69">
        <v>3</v>
      </c>
      <c r="F33" s="5" t="s">
        <v>1485</v>
      </c>
      <c r="G33" s="44" t="s">
        <v>958</v>
      </c>
    </row>
    <row r="34" spans="1:9" ht="30">
      <c r="A34" s="251"/>
      <c r="B34" s="247"/>
      <c r="C34" s="8" t="s">
        <v>218</v>
      </c>
      <c r="D34" s="83" t="s">
        <v>1273</v>
      </c>
      <c r="E34" s="64">
        <v>2</v>
      </c>
      <c r="F34" s="5" t="s">
        <v>1418</v>
      </c>
      <c r="G34" s="8" t="s">
        <v>92</v>
      </c>
      <c r="H34" s="4"/>
      <c r="I34" s="4"/>
    </row>
    <row r="35" spans="1:9">
      <c r="A35" s="251"/>
      <c r="B35" s="247"/>
      <c r="C35" s="8" t="s">
        <v>12</v>
      </c>
      <c r="D35" s="8"/>
      <c r="E35" s="86">
        <f>SUM(E26:E34)</f>
        <v>27.3</v>
      </c>
      <c r="F35" s="5"/>
      <c r="G35" s="5"/>
      <c r="H35" s="4"/>
      <c r="I35" s="4"/>
    </row>
    <row r="36" spans="1:9" ht="30">
      <c r="A36" s="251" t="s">
        <v>5</v>
      </c>
      <c r="B36" s="247" t="s">
        <v>197</v>
      </c>
      <c r="C36" s="244" t="s">
        <v>197</v>
      </c>
      <c r="D36" s="80" t="s">
        <v>1274</v>
      </c>
      <c r="E36" s="64">
        <v>2</v>
      </c>
      <c r="F36" s="5" t="s">
        <v>1418</v>
      </c>
      <c r="G36" s="8" t="s">
        <v>92</v>
      </c>
      <c r="H36" s="4"/>
      <c r="I36" s="4"/>
    </row>
    <row r="37" spans="1:9" ht="60">
      <c r="A37" s="251"/>
      <c r="B37" s="247"/>
      <c r="C37" s="245"/>
      <c r="D37" s="5" t="s">
        <v>754</v>
      </c>
      <c r="E37" s="36">
        <v>6</v>
      </c>
      <c r="F37" s="4" t="s">
        <v>1403</v>
      </c>
      <c r="G37" s="5" t="s">
        <v>787</v>
      </c>
      <c r="H37" s="4" t="s">
        <v>1403</v>
      </c>
      <c r="I37" s="7" t="s">
        <v>1398</v>
      </c>
    </row>
    <row r="38" spans="1:9" ht="60">
      <c r="A38" s="251"/>
      <c r="B38" s="247"/>
      <c r="C38" s="245"/>
      <c r="D38" s="20" t="s">
        <v>1414</v>
      </c>
      <c r="E38" s="9">
        <v>0.5</v>
      </c>
      <c r="F38" s="5" t="s">
        <v>1408</v>
      </c>
      <c r="G38" s="5" t="s">
        <v>1409</v>
      </c>
      <c r="I38" s="4"/>
    </row>
    <row r="39" spans="1:9" ht="90">
      <c r="A39" s="251"/>
      <c r="B39" s="247"/>
      <c r="C39" s="246"/>
      <c r="D39" s="68" t="s">
        <v>1190</v>
      </c>
      <c r="E39" s="69">
        <v>5</v>
      </c>
      <c r="F39" s="5" t="s">
        <v>1485</v>
      </c>
      <c r="G39" s="44" t="s">
        <v>958</v>
      </c>
      <c r="H39" s="122"/>
      <c r="I39" s="4"/>
    </row>
    <row r="40" spans="1:9">
      <c r="A40" s="251"/>
      <c r="B40" s="247"/>
      <c r="C40" s="8" t="s">
        <v>219</v>
      </c>
      <c r="D40" s="8"/>
      <c r="E40" s="5"/>
      <c r="F40" s="5"/>
      <c r="G40" s="5"/>
      <c r="H40" s="4"/>
      <c r="I40" s="4"/>
    </row>
    <row r="41" spans="1:9">
      <c r="A41" s="251"/>
      <c r="B41" s="247"/>
      <c r="C41" s="8" t="s">
        <v>220</v>
      </c>
      <c r="D41" s="8"/>
      <c r="E41" s="105"/>
      <c r="F41" s="5"/>
      <c r="G41" s="5"/>
      <c r="H41" s="4"/>
      <c r="I41" s="4"/>
    </row>
    <row r="42" spans="1:9">
      <c r="A42" s="251"/>
      <c r="B42" s="247"/>
      <c r="C42" s="80" t="s">
        <v>12</v>
      </c>
      <c r="D42" s="16"/>
      <c r="E42" s="13">
        <f>SUM(E36:E41)</f>
        <v>13.5</v>
      </c>
      <c r="F42" s="13"/>
      <c r="G42" s="12"/>
      <c r="H42" s="4"/>
      <c r="I42" s="4"/>
    </row>
    <row r="43" spans="1:9">
      <c r="A43" s="251" t="s">
        <v>6</v>
      </c>
      <c r="B43" s="247" t="s">
        <v>198</v>
      </c>
      <c r="C43" s="8" t="s">
        <v>198</v>
      </c>
      <c r="D43" s="8"/>
      <c r="E43" s="5"/>
      <c r="F43" s="5"/>
      <c r="G43" s="5"/>
      <c r="H43" s="4"/>
      <c r="I43" s="4"/>
    </row>
    <row r="44" spans="1:9">
      <c r="A44" s="251"/>
      <c r="B44" s="247"/>
      <c r="C44" s="8" t="s">
        <v>221</v>
      </c>
      <c r="D44" s="8"/>
      <c r="E44" s="5"/>
      <c r="F44" s="5"/>
      <c r="G44" s="5"/>
      <c r="H44" s="4"/>
      <c r="I44" s="4"/>
    </row>
    <row r="45" spans="1:9" ht="90">
      <c r="A45" s="251"/>
      <c r="B45" s="247"/>
      <c r="C45" s="247" t="s">
        <v>222</v>
      </c>
      <c r="D45" s="34" t="s">
        <v>907</v>
      </c>
      <c r="E45" s="46">
        <v>2.5</v>
      </c>
      <c r="F45" s="5" t="s">
        <v>1485</v>
      </c>
      <c r="G45" s="44" t="s">
        <v>958</v>
      </c>
      <c r="H45" s="4"/>
      <c r="I45" s="4"/>
    </row>
    <row r="46" spans="1:9" ht="60">
      <c r="A46" s="251"/>
      <c r="B46" s="247"/>
      <c r="C46" s="247"/>
      <c r="D46" s="8" t="s">
        <v>966</v>
      </c>
      <c r="E46" s="5">
        <v>0.5</v>
      </c>
      <c r="F46" s="4" t="s">
        <v>1403</v>
      </c>
      <c r="G46" s="5" t="s">
        <v>1479</v>
      </c>
      <c r="H46" s="4" t="s">
        <v>1403</v>
      </c>
      <c r="I46" s="7" t="s">
        <v>1398</v>
      </c>
    </row>
    <row r="47" spans="1:9" ht="90">
      <c r="A47" s="251"/>
      <c r="B47" s="247"/>
      <c r="C47" s="247"/>
      <c r="D47" s="59" t="s">
        <v>1024</v>
      </c>
      <c r="E47" s="60">
        <v>0.5</v>
      </c>
      <c r="F47" s="5" t="s">
        <v>1485</v>
      </c>
      <c r="G47" s="61" t="s">
        <v>1031</v>
      </c>
      <c r="H47" s="4"/>
      <c r="I47" s="4"/>
    </row>
    <row r="48" spans="1:9" ht="30">
      <c r="A48" s="251"/>
      <c r="B48" s="247"/>
      <c r="C48" s="247"/>
      <c r="D48" s="5" t="s">
        <v>1357</v>
      </c>
      <c r="E48" s="1">
        <v>0.7</v>
      </c>
      <c r="F48" s="5" t="s">
        <v>1344</v>
      </c>
      <c r="G48" s="8" t="s">
        <v>92</v>
      </c>
      <c r="H48" s="4"/>
      <c r="I48" s="4"/>
    </row>
    <row r="49" spans="1:9" ht="30">
      <c r="A49" s="251"/>
      <c r="B49" s="247"/>
      <c r="C49" s="247"/>
      <c r="D49" s="83" t="s">
        <v>1275</v>
      </c>
      <c r="E49" s="64">
        <v>2</v>
      </c>
      <c r="F49" s="5" t="s">
        <v>1418</v>
      </c>
      <c r="G49" s="8" t="s">
        <v>92</v>
      </c>
      <c r="H49" s="4"/>
      <c r="I49" s="4"/>
    </row>
    <row r="50" spans="1:9" ht="60">
      <c r="A50" s="251"/>
      <c r="B50" s="247"/>
      <c r="C50" s="247"/>
      <c r="D50" s="20" t="s">
        <v>1466</v>
      </c>
      <c r="E50" s="9">
        <v>0.4</v>
      </c>
      <c r="F50" s="5" t="s">
        <v>1408</v>
      </c>
      <c r="G50" s="5" t="s">
        <v>1409</v>
      </c>
      <c r="H50" s="4"/>
      <c r="I50" s="4"/>
    </row>
    <row r="51" spans="1:9">
      <c r="A51" s="251"/>
      <c r="B51" s="247"/>
      <c r="C51" s="8" t="s">
        <v>12</v>
      </c>
      <c r="D51" s="8"/>
      <c r="E51" s="5">
        <f>SUM(E43:E50)</f>
        <v>6.6000000000000005</v>
      </c>
      <c r="F51" s="5"/>
      <c r="G51" s="5"/>
      <c r="H51" s="4"/>
      <c r="I51" s="4"/>
    </row>
    <row r="52" spans="1:9" ht="109.5" customHeight="1">
      <c r="A52" s="251" t="s">
        <v>7</v>
      </c>
      <c r="B52" s="247" t="s">
        <v>199</v>
      </c>
      <c r="C52" s="247" t="s">
        <v>223</v>
      </c>
      <c r="D52" s="35" t="s">
        <v>944</v>
      </c>
      <c r="E52" s="47">
        <v>0.1</v>
      </c>
      <c r="F52" s="5" t="s">
        <v>1485</v>
      </c>
      <c r="G52" s="44" t="s">
        <v>958</v>
      </c>
      <c r="H52" s="4"/>
      <c r="I52" s="4"/>
    </row>
    <row r="53" spans="1:9" ht="70.5" customHeight="1">
      <c r="A53" s="251"/>
      <c r="B53" s="247"/>
      <c r="C53" s="247"/>
      <c r="D53" s="35" t="s">
        <v>1123</v>
      </c>
      <c r="E53" s="47">
        <v>2</v>
      </c>
      <c r="F53" s="5" t="s">
        <v>1116</v>
      </c>
      <c r="G53" s="15" t="s">
        <v>1117</v>
      </c>
      <c r="H53" s="4"/>
      <c r="I53" s="4"/>
    </row>
    <row r="54" spans="1:9" ht="112.5" customHeight="1">
      <c r="A54" s="251"/>
      <c r="B54" s="247"/>
      <c r="C54" s="247"/>
      <c r="D54" s="34" t="s">
        <v>1442</v>
      </c>
      <c r="E54" s="46">
        <v>2</v>
      </c>
      <c r="F54" s="5" t="s">
        <v>1485</v>
      </c>
      <c r="G54" s="44" t="s">
        <v>958</v>
      </c>
      <c r="H54" s="4"/>
      <c r="I54" s="4"/>
    </row>
    <row r="55" spans="1:9" ht="93" customHeight="1">
      <c r="A55" s="251"/>
      <c r="B55" s="247"/>
      <c r="C55" s="247" t="s">
        <v>224</v>
      </c>
      <c r="D55" s="59" t="s">
        <v>1028</v>
      </c>
      <c r="E55" s="60">
        <v>1</v>
      </c>
      <c r="F55" s="5" t="s">
        <v>1485</v>
      </c>
      <c r="G55" s="61" t="s">
        <v>1031</v>
      </c>
      <c r="H55" s="4"/>
      <c r="I55" s="4"/>
    </row>
    <row r="56" spans="1:9" ht="90">
      <c r="A56" s="251"/>
      <c r="B56" s="247"/>
      <c r="C56" s="247"/>
      <c r="D56" s="59" t="s">
        <v>1021</v>
      </c>
      <c r="E56" s="60">
        <v>2</v>
      </c>
      <c r="F56" s="5" t="s">
        <v>1485</v>
      </c>
      <c r="G56" s="61" t="s">
        <v>1031</v>
      </c>
      <c r="H56" s="4"/>
      <c r="I56" s="4"/>
    </row>
    <row r="57" spans="1:9" ht="42.75" customHeight="1">
      <c r="A57" s="251"/>
      <c r="B57" s="247"/>
      <c r="C57" s="247"/>
      <c r="D57" s="37" t="s">
        <v>1175</v>
      </c>
      <c r="E57" s="9">
        <v>0.04</v>
      </c>
      <c r="F57" s="5" t="s">
        <v>1116</v>
      </c>
      <c r="G57" s="61" t="s">
        <v>1504</v>
      </c>
      <c r="H57" s="4"/>
      <c r="I57" s="4"/>
    </row>
    <row r="58" spans="1:9" ht="42.75" customHeight="1">
      <c r="A58" s="251"/>
      <c r="B58" s="247"/>
      <c r="C58" s="247"/>
      <c r="D58" s="20" t="s">
        <v>1467</v>
      </c>
      <c r="E58" s="9">
        <v>0.7</v>
      </c>
      <c r="F58" s="5" t="s">
        <v>1408</v>
      </c>
      <c r="G58" s="5" t="s">
        <v>1409</v>
      </c>
      <c r="H58" s="4"/>
      <c r="I58" s="4"/>
    </row>
    <row r="59" spans="1:9" ht="31.5" customHeight="1">
      <c r="A59" s="251"/>
      <c r="B59" s="247"/>
      <c r="C59" s="247"/>
      <c r="D59" s="83" t="s">
        <v>1276</v>
      </c>
      <c r="E59" s="64">
        <v>2</v>
      </c>
      <c r="F59" s="5" t="s">
        <v>1418</v>
      </c>
      <c r="G59" s="5" t="s">
        <v>92</v>
      </c>
      <c r="H59" s="4"/>
      <c r="I59" s="4"/>
    </row>
    <row r="60" spans="1:9" ht="90">
      <c r="A60" s="251"/>
      <c r="B60" s="247"/>
      <c r="C60" s="8" t="s">
        <v>225</v>
      </c>
      <c r="D60" s="59" t="s">
        <v>1022</v>
      </c>
      <c r="E60" s="60">
        <v>1</v>
      </c>
      <c r="F60" s="5" t="s">
        <v>1485</v>
      </c>
      <c r="G60" s="61" t="s">
        <v>1031</v>
      </c>
      <c r="H60" s="4"/>
      <c r="I60" s="4"/>
    </row>
    <row r="61" spans="1:9" ht="15.75" customHeight="1">
      <c r="A61" s="251"/>
      <c r="B61" s="247"/>
      <c r="C61" s="8" t="s">
        <v>226</v>
      </c>
      <c r="D61" s="8"/>
      <c r="E61" s="86"/>
      <c r="F61" s="5"/>
      <c r="G61" s="5"/>
      <c r="H61" s="4"/>
      <c r="I61" s="4"/>
    </row>
    <row r="62" spans="1:9" ht="20.25" customHeight="1">
      <c r="A62" s="251"/>
      <c r="B62" s="247"/>
      <c r="C62" s="80" t="s">
        <v>12</v>
      </c>
      <c r="D62" s="16"/>
      <c r="E62" s="107">
        <f>SUM(E52:E61)</f>
        <v>10.84</v>
      </c>
      <c r="F62" s="15"/>
      <c r="G62" s="12"/>
      <c r="H62" s="4"/>
      <c r="I62" s="4"/>
    </row>
    <row r="63" spans="1:9" ht="111.75" customHeight="1">
      <c r="A63" s="251" t="s">
        <v>9</v>
      </c>
      <c r="B63" s="247" t="s">
        <v>200</v>
      </c>
      <c r="C63" s="247" t="s">
        <v>200</v>
      </c>
      <c r="D63" s="34" t="s">
        <v>906</v>
      </c>
      <c r="E63" s="46">
        <v>2</v>
      </c>
      <c r="F63" s="5" t="s">
        <v>1485</v>
      </c>
      <c r="G63" s="44" t="s">
        <v>958</v>
      </c>
      <c r="H63" s="4"/>
      <c r="I63" s="4"/>
    </row>
    <row r="64" spans="1:9" ht="110.25" customHeight="1">
      <c r="A64" s="251"/>
      <c r="B64" s="247"/>
      <c r="C64" s="247"/>
      <c r="D64" s="35" t="s">
        <v>945</v>
      </c>
      <c r="E64" s="47">
        <v>0.1</v>
      </c>
      <c r="F64" s="5" t="s">
        <v>1485</v>
      </c>
      <c r="G64" s="44" t="s">
        <v>958</v>
      </c>
      <c r="H64" s="4"/>
      <c r="I64" s="4"/>
    </row>
    <row r="65" spans="1:9" ht="113.25" customHeight="1">
      <c r="A65" s="251"/>
      <c r="B65" s="247"/>
      <c r="C65" s="247"/>
      <c r="D65" s="59" t="s">
        <v>1019</v>
      </c>
      <c r="E65" s="60">
        <v>1</v>
      </c>
      <c r="F65" s="5" t="s">
        <v>1485</v>
      </c>
      <c r="G65" s="61" t="s">
        <v>1031</v>
      </c>
      <c r="H65" s="4"/>
      <c r="I65" s="4"/>
    </row>
    <row r="66" spans="1:9" ht="93" customHeight="1">
      <c r="A66" s="251"/>
      <c r="B66" s="247"/>
      <c r="C66" s="247"/>
      <c r="D66" s="65" t="s">
        <v>1087</v>
      </c>
      <c r="E66" s="64">
        <v>0.5</v>
      </c>
      <c r="F66" s="5" t="s">
        <v>1485</v>
      </c>
      <c r="G66" s="5" t="s">
        <v>1078</v>
      </c>
      <c r="H66" s="4"/>
      <c r="I66" s="4"/>
    </row>
    <row r="67" spans="1:9" ht="45.75" customHeight="1">
      <c r="A67" s="251"/>
      <c r="B67" s="247"/>
      <c r="C67" s="247"/>
      <c r="D67" s="102" t="s">
        <v>1394</v>
      </c>
      <c r="E67" s="9">
        <v>1.8</v>
      </c>
      <c r="F67" s="33" t="s">
        <v>1344</v>
      </c>
      <c r="G67" s="8" t="s">
        <v>92</v>
      </c>
      <c r="H67" s="4"/>
      <c r="I67" s="4"/>
    </row>
    <row r="68" spans="1:9" ht="35.25" customHeight="1">
      <c r="A68" s="251"/>
      <c r="B68" s="247"/>
      <c r="C68" s="247"/>
      <c r="D68" s="83" t="s">
        <v>1277</v>
      </c>
      <c r="E68" s="64">
        <v>2</v>
      </c>
      <c r="F68" s="5" t="s">
        <v>1418</v>
      </c>
      <c r="G68" s="8" t="s">
        <v>92</v>
      </c>
      <c r="H68" s="4"/>
      <c r="I68" s="4"/>
    </row>
    <row r="69" spans="1:9" ht="90">
      <c r="A69" s="251"/>
      <c r="B69" s="247"/>
      <c r="C69" s="244" t="s">
        <v>227</v>
      </c>
      <c r="D69" s="59" t="s">
        <v>1026</v>
      </c>
      <c r="E69" s="60">
        <v>1.5</v>
      </c>
      <c r="F69" s="5" t="s">
        <v>1485</v>
      </c>
      <c r="G69" s="61" t="s">
        <v>1031</v>
      </c>
      <c r="H69" s="4"/>
      <c r="I69" s="4"/>
    </row>
    <row r="70" spans="1:9" ht="90">
      <c r="A70" s="251"/>
      <c r="B70" s="247"/>
      <c r="C70" s="245"/>
      <c r="D70" s="65" t="s">
        <v>1086</v>
      </c>
      <c r="E70" s="64">
        <v>1</v>
      </c>
      <c r="F70" s="5" t="s">
        <v>1485</v>
      </c>
      <c r="G70" s="5" t="s">
        <v>1078</v>
      </c>
      <c r="H70" s="4"/>
      <c r="I70" s="4"/>
    </row>
    <row r="71" spans="1:9" ht="90">
      <c r="A71" s="251"/>
      <c r="B71" s="247"/>
      <c r="C71" s="246"/>
      <c r="D71" s="68" t="s">
        <v>1191</v>
      </c>
      <c r="E71" s="69">
        <v>2.5</v>
      </c>
      <c r="F71" s="5" t="s">
        <v>1485</v>
      </c>
      <c r="G71" s="44" t="s">
        <v>958</v>
      </c>
      <c r="H71" s="4"/>
      <c r="I71" s="4"/>
    </row>
    <row r="72" spans="1:9" ht="47.25">
      <c r="A72" s="251"/>
      <c r="B72" s="247"/>
      <c r="C72" s="252" t="s">
        <v>228</v>
      </c>
      <c r="D72" s="78" t="s">
        <v>1578</v>
      </c>
      <c r="E72" s="78">
        <v>2</v>
      </c>
      <c r="F72" s="78" t="s">
        <v>1571</v>
      </c>
      <c r="G72" s="78" t="s">
        <v>1556</v>
      </c>
      <c r="H72" s="4"/>
      <c r="I72" s="4"/>
    </row>
    <row r="73" spans="1:9" ht="47.25">
      <c r="A73" s="251"/>
      <c r="B73" s="247"/>
      <c r="C73" s="253"/>
      <c r="D73" s="188" t="s">
        <v>1592</v>
      </c>
      <c r="E73" s="78">
        <v>0.5</v>
      </c>
      <c r="F73" s="158" t="s">
        <v>1581</v>
      </c>
      <c r="G73" s="78" t="s">
        <v>1556</v>
      </c>
      <c r="H73" s="4"/>
      <c r="I73" s="4"/>
    </row>
    <row r="74" spans="1:9" ht="52.5" customHeight="1">
      <c r="A74" s="251"/>
      <c r="B74" s="247"/>
      <c r="C74" s="254"/>
      <c r="D74" s="188" t="s">
        <v>1603</v>
      </c>
      <c r="E74" s="7">
        <v>2.2000000000000002</v>
      </c>
      <c r="F74" s="193" t="s">
        <v>1594</v>
      </c>
      <c r="G74" s="78" t="s">
        <v>1556</v>
      </c>
      <c r="H74" s="4"/>
      <c r="I74" s="4"/>
    </row>
    <row r="75" spans="1:9" ht="95.25" customHeight="1">
      <c r="A75" s="251"/>
      <c r="B75" s="247"/>
      <c r="C75" s="244" t="s">
        <v>229</v>
      </c>
      <c r="D75" s="59" t="s">
        <v>1020</v>
      </c>
      <c r="E75" s="60">
        <v>1</v>
      </c>
      <c r="F75" s="5" t="s">
        <v>1485</v>
      </c>
      <c r="G75" s="61" t="s">
        <v>1031</v>
      </c>
      <c r="H75" s="4"/>
      <c r="I75" s="4"/>
    </row>
    <row r="76" spans="1:9" ht="46.5" customHeight="1">
      <c r="A76" s="251"/>
      <c r="B76" s="247"/>
      <c r="C76" s="246"/>
      <c r="D76" s="37" t="s">
        <v>1154</v>
      </c>
      <c r="E76" s="60">
        <v>0.4</v>
      </c>
      <c r="F76" s="5" t="s">
        <v>1116</v>
      </c>
      <c r="G76" s="61" t="s">
        <v>1503</v>
      </c>
      <c r="H76" s="4"/>
      <c r="I76" s="4"/>
    </row>
    <row r="77" spans="1:9">
      <c r="A77" s="251"/>
      <c r="B77" s="247"/>
      <c r="C77" s="8" t="s">
        <v>12</v>
      </c>
      <c r="D77" s="8"/>
      <c r="E77" s="86">
        <f>SUM(E63:E76)</f>
        <v>18.5</v>
      </c>
      <c r="F77" s="1"/>
      <c r="G77" s="5"/>
      <c r="H77" s="4"/>
      <c r="I77" s="4"/>
    </row>
    <row r="78" spans="1:9" ht="90">
      <c r="A78" s="251" t="s">
        <v>13</v>
      </c>
      <c r="B78" s="247" t="s">
        <v>201</v>
      </c>
      <c r="C78" s="8" t="s">
        <v>201</v>
      </c>
      <c r="D78" s="35" t="s">
        <v>946</v>
      </c>
      <c r="E78" s="46">
        <v>0.2</v>
      </c>
      <c r="F78" s="5" t="s">
        <v>1485</v>
      </c>
      <c r="G78" s="44" t="s">
        <v>958</v>
      </c>
      <c r="H78" s="4"/>
      <c r="I78" s="4"/>
    </row>
    <row r="79" spans="1:9" ht="90">
      <c r="A79" s="251"/>
      <c r="B79" s="247"/>
      <c r="C79" s="247" t="s">
        <v>230</v>
      </c>
      <c r="D79" s="65" t="s">
        <v>1088</v>
      </c>
      <c r="E79" s="64">
        <v>1</v>
      </c>
      <c r="F79" s="5" t="s">
        <v>1485</v>
      </c>
      <c r="G79" s="5" t="s">
        <v>1078</v>
      </c>
      <c r="H79" s="4"/>
      <c r="I79" s="4"/>
    </row>
    <row r="80" spans="1:9" ht="90">
      <c r="A80" s="251"/>
      <c r="B80" s="247"/>
      <c r="C80" s="247"/>
      <c r="D80" s="59" t="s">
        <v>1023</v>
      </c>
      <c r="E80" s="60">
        <v>2</v>
      </c>
      <c r="F80" s="5" t="s">
        <v>1485</v>
      </c>
      <c r="G80" s="61" t="s">
        <v>1031</v>
      </c>
      <c r="H80" s="163"/>
      <c r="I80" s="4"/>
    </row>
    <row r="81" spans="1:9" ht="90">
      <c r="A81" s="251"/>
      <c r="B81" s="247"/>
      <c r="C81" s="247"/>
      <c r="D81" s="68" t="s">
        <v>1192</v>
      </c>
      <c r="E81" s="69">
        <v>1</v>
      </c>
      <c r="F81" s="5" t="s">
        <v>1485</v>
      </c>
      <c r="G81" s="44" t="s">
        <v>958</v>
      </c>
      <c r="H81" s="4"/>
      <c r="I81" s="4"/>
    </row>
    <row r="82" spans="1:9" ht="30">
      <c r="A82" s="251"/>
      <c r="B82" s="247"/>
      <c r="C82" s="247"/>
      <c r="D82" s="102" t="s">
        <v>1395</v>
      </c>
      <c r="E82" s="9">
        <v>1.5</v>
      </c>
      <c r="F82" s="9" t="s">
        <v>1344</v>
      </c>
      <c r="G82" s="8" t="s">
        <v>92</v>
      </c>
      <c r="H82" s="4"/>
      <c r="I82" s="4"/>
    </row>
    <row r="83" spans="1:9" ht="30">
      <c r="A83" s="251"/>
      <c r="B83" s="247"/>
      <c r="C83" s="8" t="s">
        <v>231</v>
      </c>
      <c r="D83" s="83" t="s">
        <v>1278</v>
      </c>
      <c r="E83" s="64">
        <v>2</v>
      </c>
      <c r="F83" s="5" t="s">
        <v>1418</v>
      </c>
      <c r="G83" s="8" t="s">
        <v>92</v>
      </c>
      <c r="H83" s="4"/>
      <c r="I83" s="4"/>
    </row>
    <row r="84" spans="1:9">
      <c r="A84" s="251"/>
      <c r="B84" s="247"/>
      <c r="C84" s="8" t="s">
        <v>12</v>
      </c>
      <c r="D84" s="8"/>
      <c r="E84" s="86">
        <f>SUM(E78:E83)</f>
        <v>7.7</v>
      </c>
      <c r="F84" s="5"/>
      <c r="G84" s="5"/>
      <c r="H84" s="4"/>
      <c r="I84" s="4"/>
    </row>
    <row r="85" spans="1:9" ht="90">
      <c r="A85" s="251" t="s">
        <v>14</v>
      </c>
      <c r="B85" s="247" t="s">
        <v>202</v>
      </c>
      <c r="C85" s="247" t="s">
        <v>202</v>
      </c>
      <c r="D85" s="34" t="s">
        <v>1477</v>
      </c>
      <c r="E85" s="46">
        <v>2</v>
      </c>
      <c r="F85" s="5" t="s">
        <v>1485</v>
      </c>
      <c r="G85" s="44" t="s">
        <v>958</v>
      </c>
      <c r="H85" s="4"/>
      <c r="I85" s="4"/>
    </row>
    <row r="86" spans="1:9" ht="90">
      <c r="A86" s="251"/>
      <c r="B86" s="247"/>
      <c r="C86" s="247"/>
      <c r="D86" s="34" t="s">
        <v>967</v>
      </c>
      <c r="E86" s="46">
        <v>2.5</v>
      </c>
      <c r="F86" s="5" t="s">
        <v>1485</v>
      </c>
      <c r="G86" s="44" t="s">
        <v>958</v>
      </c>
      <c r="H86" s="4"/>
      <c r="I86" s="4"/>
    </row>
    <row r="87" spans="1:9" ht="90">
      <c r="A87" s="251"/>
      <c r="B87" s="247"/>
      <c r="C87" s="247"/>
      <c r="D87" s="65" t="s">
        <v>1089</v>
      </c>
      <c r="E87" s="64">
        <v>0.5</v>
      </c>
      <c r="F87" s="5" t="s">
        <v>1485</v>
      </c>
      <c r="G87" s="5" t="s">
        <v>1078</v>
      </c>
      <c r="H87" s="4"/>
      <c r="I87" s="4"/>
    </row>
    <row r="88" spans="1:9" ht="75">
      <c r="A88" s="251"/>
      <c r="B88" s="247"/>
      <c r="C88" s="247"/>
      <c r="D88" s="5" t="s">
        <v>599</v>
      </c>
      <c r="E88" s="9">
        <v>5</v>
      </c>
      <c r="F88" s="5" t="s">
        <v>1426</v>
      </c>
      <c r="G88" s="5" t="s">
        <v>626</v>
      </c>
      <c r="H88" s="5" t="s">
        <v>1426</v>
      </c>
      <c r="I88" s="115" t="s">
        <v>1398</v>
      </c>
    </row>
    <row r="89" spans="1:9" ht="75">
      <c r="A89" s="251"/>
      <c r="B89" s="247"/>
      <c r="C89" s="247"/>
      <c r="D89" s="5" t="s">
        <v>601</v>
      </c>
      <c r="E89" s="9">
        <v>3</v>
      </c>
      <c r="F89" s="5" t="s">
        <v>1426</v>
      </c>
      <c r="G89" s="5" t="s">
        <v>626</v>
      </c>
      <c r="H89" s="5" t="s">
        <v>1426</v>
      </c>
      <c r="I89" s="115" t="s">
        <v>1398</v>
      </c>
    </row>
    <row r="90" spans="1:9" ht="75">
      <c r="A90" s="251"/>
      <c r="B90" s="247"/>
      <c r="C90" s="247"/>
      <c r="D90" s="5" t="s">
        <v>603</v>
      </c>
      <c r="E90" s="9">
        <v>0.5</v>
      </c>
      <c r="F90" s="5" t="s">
        <v>1426</v>
      </c>
      <c r="G90" s="5" t="s">
        <v>487</v>
      </c>
      <c r="H90" s="5" t="s">
        <v>1426</v>
      </c>
      <c r="I90" s="115" t="s">
        <v>1398</v>
      </c>
    </row>
    <row r="91" spans="1:9" ht="45">
      <c r="A91" s="251"/>
      <c r="B91" s="247"/>
      <c r="C91" s="247"/>
      <c r="D91" s="5" t="s">
        <v>1208</v>
      </c>
      <c r="E91" s="64">
        <v>2</v>
      </c>
      <c r="F91" s="5" t="s">
        <v>1205</v>
      </c>
      <c r="G91" s="8" t="s">
        <v>92</v>
      </c>
      <c r="H91" s="163"/>
      <c r="I91" s="4"/>
    </row>
    <row r="92" spans="1:9" ht="90">
      <c r="A92" s="251"/>
      <c r="B92" s="247"/>
      <c r="C92" s="247" t="s">
        <v>232</v>
      </c>
      <c r="D92" s="59" t="s">
        <v>1015</v>
      </c>
      <c r="E92" s="60">
        <v>1</v>
      </c>
      <c r="F92" s="5" t="s">
        <v>1485</v>
      </c>
      <c r="G92" s="61" t="s">
        <v>1031</v>
      </c>
      <c r="H92" s="4"/>
      <c r="I92" s="4"/>
    </row>
    <row r="93" spans="1:9" ht="90">
      <c r="A93" s="251"/>
      <c r="B93" s="247"/>
      <c r="C93" s="247"/>
      <c r="D93" s="59" t="s">
        <v>1016</v>
      </c>
      <c r="E93" s="60">
        <v>1</v>
      </c>
      <c r="F93" s="5" t="s">
        <v>1485</v>
      </c>
      <c r="G93" s="61" t="s">
        <v>1031</v>
      </c>
      <c r="H93" s="4"/>
      <c r="I93" s="4"/>
    </row>
    <row r="94" spans="1:9" ht="30">
      <c r="A94" s="251"/>
      <c r="B94" s="247"/>
      <c r="C94" s="247"/>
      <c r="D94" s="83" t="s">
        <v>1279</v>
      </c>
      <c r="E94" s="64">
        <v>2</v>
      </c>
      <c r="F94" s="5" t="s">
        <v>1418</v>
      </c>
      <c r="G94" s="8" t="s">
        <v>92</v>
      </c>
      <c r="H94" s="4"/>
      <c r="I94" s="4"/>
    </row>
    <row r="95" spans="1:9">
      <c r="A95" s="251"/>
      <c r="B95" s="247"/>
      <c r="C95" s="80" t="s">
        <v>12</v>
      </c>
      <c r="D95" s="11"/>
      <c r="E95" s="88">
        <f>SUM(E85:E94)</f>
        <v>19.5</v>
      </c>
      <c r="F95" s="13"/>
      <c r="G95" s="13"/>
      <c r="H95" s="4"/>
      <c r="I95" s="4"/>
    </row>
    <row r="96" spans="1:9" ht="30">
      <c r="A96" s="251" t="s">
        <v>15</v>
      </c>
      <c r="B96" s="247" t="s">
        <v>203</v>
      </c>
      <c r="C96" s="8" t="s">
        <v>203</v>
      </c>
      <c r="D96" s="83" t="s">
        <v>1282</v>
      </c>
      <c r="E96" s="64">
        <v>2</v>
      </c>
      <c r="F96" s="5" t="s">
        <v>1418</v>
      </c>
      <c r="G96" s="8" t="s">
        <v>92</v>
      </c>
      <c r="H96" s="4"/>
      <c r="I96" s="4"/>
    </row>
    <row r="97" spans="1:9" ht="60">
      <c r="A97" s="251"/>
      <c r="B97" s="247"/>
      <c r="C97" s="247" t="s">
        <v>233</v>
      </c>
      <c r="D97" s="8" t="s">
        <v>782</v>
      </c>
      <c r="E97" s="5">
        <v>2</v>
      </c>
      <c r="F97" s="6" t="s">
        <v>1403</v>
      </c>
      <c r="G97" s="5" t="s">
        <v>1479</v>
      </c>
      <c r="H97" s="4" t="s">
        <v>1403</v>
      </c>
      <c r="I97" s="7" t="s">
        <v>1398</v>
      </c>
    </row>
    <row r="98" spans="1:9" ht="90">
      <c r="A98" s="251"/>
      <c r="B98" s="247"/>
      <c r="C98" s="247"/>
      <c r="D98" s="59" t="s">
        <v>1013</v>
      </c>
      <c r="E98" s="60">
        <v>0.5</v>
      </c>
      <c r="F98" s="5" t="s">
        <v>1485</v>
      </c>
      <c r="G98" s="61" t="s">
        <v>1031</v>
      </c>
      <c r="H98" s="4"/>
      <c r="I98" s="4"/>
    </row>
    <row r="99" spans="1:9" ht="90">
      <c r="A99" s="251"/>
      <c r="B99" s="247"/>
      <c r="C99" s="247"/>
      <c r="D99" s="59" t="s">
        <v>1014</v>
      </c>
      <c r="E99" s="60">
        <v>1</v>
      </c>
      <c r="F99" s="5" t="s">
        <v>1485</v>
      </c>
      <c r="G99" s="61" t="s">
        <v>1031</v>
      </c>
      <c r="H99" s="4"/>
      <c r="I99" s="4"/>
    </row>
    <row r="100" spans="1:9" ht="30">
      <c r="A100" s="251"/>
      <c r="B100" s="247"/>
      <c r="C100" s="247"/>
      <c r="D100" s="83" t="s">
        <v>1280</v>
      </c>
      <c r="E100" s="64">
        <v>2</v>
      </c>
      <c r="F100" s="5" t="s">
        <v>1418</v>
      </c>
      <c r="G100" s="8" t="s">
        <v>92</v>
      </c>
      <c r="H100" s="4"/>
      <c r="I100" s="4"/>
    </row>
    <row r="101" spans="1:9" ht="30">
      <c r="A101" s="251"/>
      <c r="B101" s="247"/>
      <c r="C101" s="8" t="s">
        <v>234</v>
      </c>
      <c r="D101" s="37" t="s">
        <v>1174</v>
      </c>
      <c r="E101" s="15">
        <v>0.04</v>
      </c>
      <c r="F101" s="5" t="s">
        <v>1116</v>
      </c>
      <c r="G101" s="61" t="s">
        <v>1504</v>
      </c>
      <c r="H101" s="4"/>
      <c r="I101" s="4"/>
    </row>
    <row r="102" spans="1:9">
      <c r="A102" s="1"/>
      <c r="B102" s="1"/>
      <c r="C102" s="1" t="s">
        <v>12</v>
      </c>
      <c r="D102" s="5"/>
      <c r="E102" s="106">
        <f>SUM(E96:E101)</f>
        <v>7.54</v>
      </c>
      <c r="F102" s="1"/>
      <c r="G102" s="1"/>
    </row>
    <row r="103" spans="1:9">
      <c r="A103" s="1"/>
      <c r="B103" s="1"/>
      <c r="C103" s="8" t="s">
        <v>150</v>
      </c>
      <c r="D103" s="8"/>
      <c r="E103" s="106">
        <f>E102+E95+E84+E77+E62+E51+E42+E25+E20+E9+E35</f>
        <v>149.97</v>
      </c>
      <c r="F103" s="1"/>
      <c r="G103" s="1"/>
    </row>
    <row r="104" spans="1:9" ht="75">
      <c r="A104" s="1"/>
      <c r="B104" s="1"/>
      <c r="C104" s="266" t="s">
        <v>660</v>
      </c>
      <c r="D104" s="5" t="s">
        <v>656</v>
      </c>
      <c r="E104" s="9">
        <v>0.8</v>
      </c>
      <c r="F104" s="5" t="s">
        <v>1426</v>
      </c>
      <c r="G104" s="5" t="s">
        <v>657</v>
      </c>
      <c r="H104" s="5" t="s">
        <v>1426</v>
      </c>
      <c r="I104" s="115" t="s">
        <v>1398</v>
      </c>
    </row>
    <row r="105" spans="1:9" ht="75">
      <c r="A105" s="1"/>
      <c r="B105" s="1"/>
      <c r="C105" s="266"/>
      <c r="D105" s="5" t="s">
        <v>661</v>
      </c>
      <c r="E105" s="9">
        <v>0.75</v>
      </c>
      <c r="F105" s="5" t="s">
        <v>1426</v>
      </c>
      <c r="G105" s="5" t="s">
        <v>657</v>
      </c>
      <c r="H105" s="5" t="s">
        <v>1426</v>
      </c>
      <c r="I105" s="115" t="s">
        <v>1398</v>
      </c>
    </row>
    <row r="106" spans="1:9" ht="75">
      <c r="A106" s="1"/>
      <c r="B106" s="1"/>
      <c r="C106" s="266"/>
      <c r="D106" s="5" t="s">
        <v>658</v>
      </c>
      <c r="E106" s="9">
        <v>0.5</v>
      </c>
      <c r="F106" s="5" t="s">
        <v>1426</v>
      </c>
      <c r="G106" s="5" t="s">
        <v>657</v>
      </c>
      <c r="H106" s="5" t="s">
        <v>1426</v>
      </c>
      <c r="I106" s="115" t="s">
        <v>1398</v>
      </c>
    </row>
    <row r="107" spans="1:9" ht="75">
      <c r="A107" s="1"/>
      <c r="B107" s="1"/>
      <c r="C107" s="266"/>
      <c r="D107" s="5" t="s">
        <v>659</v>
      </c>
      <c r="E107" s="9">
        <v>0.1</v>
      </c>
      <c r="F107" s="5" t="s">
        <v>1426</v>
      </c>
      <c r="G107" s="5" t="s">
        <v>657</v>
      </c>
      <c r="H107" s="5" t="s">
        <v>1426</v>
      </c>
      <c r="I107" s="115" t="s">
        <v>1398</v>
      </c>
    </row>
    <row r="108" spans="1:9" ht="60">
      <c r="A108" s="1"/>
      <c r="B108" s="1"/>
      <c r="C108" s="9" t="s">
        <v>660</v>
      </c>
      <c r="D108" s="5" t="s">
        <v>752</v>
      </c>
      <c r="E108" s="9">
        <v>5</v>
      </c>
      <c r="F108" s="27" t="s">
        <v>1403</v>
      </c>
      <c r="G108" s="5" t="s">
        <v>787</v>
      </c>
      <c r="H108" s="4" t="s">
        <v>1403</v>
      </c>
      <c r="I108" s="7" t="s">
        <v>1398</v>
      </c>
    </row>
    <row r="109" spans="1:9" ht="60">
      <c r="A109" s="1"/>
      <c r="B109" s="1"/>
      <c r="C109" s="9" t="s">
        <v>660</v>
      </c>
      <c r="D109" s="5" t="s">
        <v>753</v>
      </c>
      <c r="E109" s="36">
        <v>4</v>
      </c>
      <c r="F109" s="27" t="s">
        <v>1403</v>
      </c>
      <c r="G109" s="5" t="s">
        <v>787</v>
      </c>
      <c r="H109" s="4" t="s">
        <v>1403</v>
      </c>
      <c r="I109" s="7" t="s">
        <v>1398</v>
      </c>
    </row>
    <row r="110" spans="1:9" ht="75">
      <c r="A110" s="1"/>
      <c r="B110" s="1"/>
      <c r="C110" s="9" t="s">
        <v>660</v>
      </c>
      <c r="D110" s="5" t="s">
        <v>836</v>
      </c>
      <c r="E110" s="36">
        <v>0.25</v>
      </c>
      <c r="F110" s="5" t="s">
        <v>1397</v>
      </c>
      <c r="G110" s="29" t="s">
        <v>833</v>
      </c>
      <c r="H110" s="6" t="s">
        <v>1397</v>
      </c>
      <c r="I110" s="6" t="s">
        <v>1398</v>
      </c>
    </row>
    <row r="111" spans="1:9" ht="45">
      <c r="A111" s="1"/>
      <c r="B111" s="1"/>
      <c r="C111" s="9"/>
      <c r="D111" s="124" t="s">
        <v>1623</v>
      </c>
      <c r="E111" s="7">
        <v>2.8</v>
      </c>
      <c r="F111" s="188" t="s">
        <v>1616</v>
      </c>
      <c r="G111" s="172" t="s">
        <v>1556</v>
      </c>
      <c r="H111" s="6"/>
      <c r="I111" s="6"/>
    </row>
    <row r="112" spans="1:9" ht="47.25">
      <c r="A112" s="1"/>
      <c r="B112" s="1"/>
      <c r="C112" s="9"/>
      <c r="D112" s="196" t="s">
        <v>1663</v>
      </c>
      <c r="E112" s="9">
        <v>2.7</v>
      </c>
      <c r="F112" s="29" t="s">
        <v>1654</v>
      </c>
      <c r="G112" s="42" t="s">
        <v>1556</v>
      </c>
      <c r="H112" s="6"/>
      <c r="I112" s="6"/>
    </row>
    <row r="113" spans="1:9" ht="45">
      <c r="A113" s="1"/>
      <c r="B113" s="1"/>
      <c r="C113" s="9"/>
      <c r="D113" s="196" t="s">
        <v>1867</v>
      </c>
      <c r="E113" s="9">
        <v>1.5</v>
      </c>
      <c r="F113" s="29" t="s">
        <v>1666</v>
      </c>
      <c r="G113" s="42" t="s">
        <v>1556</v>
      </c>
      <c r="H113" s="6"/>
      <c r="I113" s="6"/>
    </row>
    <row r="114" spans="1:9" ht="45">
      <c r="A114" s="1"/>
      <c r="B114" s="1"/>
      <c r="C114" s="9"/>
      <c r="D114" s="196" t="s">
        <v>1866</v>
      </c>
      <c r="E114" s="9">
        <v>1.5</v>
      </c>
      <c r="F114" s="5" t="s">
        <v>1738</v>
      </c>
      <c r="G114" s="42" t="s">
        <v>1556</v>
      </c>
      <c r="H114" s="6"/>
      <c r="I114" s="6"/>
    </row>
    <row r="115" spans="1:9" ht="60">
      <c r="A115" s="1"/>
      <c r="B115" s="1"/>
      <c r="C115" s="9"/>
      <c r="D115" s="202" t="s">
        <v>1721</v>
      </c>
      <c r="E115" s="9">
        <v>2.2200000000000002</v>
      </c>
      <c r="F115" s="5" t="s">
        <v>1703</v>
      </c>
      <c r="G115" s="42" t="s">
        <v>1556</v>
      </c>
      <c r="H115" s="6"/>
      <c r="I115" s="6"/>
    </row>
    <row r="116" spans="1:9" ht="45">
      <c r="A116" s="1"/>
      <c r="B116" s="1"/>
      <c r="C116" s="9"/>
      <c r="D116" s="202" t="s">
        <v>1872</v>
      </c>
      <c r="E116" s="9">
        <v>0.92</v>
      </c>
      <c r="F116" s="5" t="s">
        <v>1703</v>
      </c>
      <c r="G116" s="42" t="s">
        <v>1556</v>
      </c>
      <c r="H116" s="6"/>
      <c r="I116" s="6"/>
    </row>
    <row r="117" spans="1:9" ht="45">
      <c r="A117" s="1"/>
      <c r="B117" s="1"/>
      <c r="C117" s="9"/>
      <c r="D117" s="202" t="s">
        <v>1756</v>
      </c>
      <c r="E117" s="9">
        <v>2.5</v>
      </c>
      <c r="F117" s="5" t="s">
        <v>1703</v>
      </c>
      <c r="G117" s="42" t="s">
        <v>1556</v>
      </c>
      <c r="H117" s="6"/>
      <c r="I117" s="6"/>
    </row>
    <row r="118" spans="1:9" ht="45">
      <c r="A118" s="1"/>
      <c r="B118" s="1"/>
      <c r="C118" s="9"/>
      <c r="D118" s="202" t="s">
        <v>1775</v>
      </c>
      <c r="E118" s="9">
        <v>2.4</v>
      </c>
      <c r="F118" s="5" t="s">
        <v>1703</v>
      </c>
      <c r="G118" s="42" t="s">
        <v>1556</v>
      </c>
      <c r="H118" s="6"/>
      <c r="I118" s="6"/>
    </row>
    <row r="119" spans="1:9" ht="45">
      <c r="A119" s="1"/>
      <c r="B119" s="1"/>
      <c r="C119" s="9"/>
      <c r="D119" s="202" t="s">
        <v>1787</v>
      </c>
      <c r="E119" s="9">
        <v>2.7</v>
      </c>
      <c r="F119" s="5" t="s">
        <v>1703</v>
      </c>
      <c r="G119" s="42" t="s">
        <v>1556</v>
      </c>
      <c r="H119" s="6"/>
      <c r="I119" s="6"/>
    </row>
    <row r="120" spans="1:9" ht="45">
      <c r="A120" s="1"/>
      <c r="B120" s="1"/>
      <c r="C120" s="9"/>
      <c r="D120" s="202" t="s">
        <v>1812</v>
      </c>
      <c r="E120" s="9">
        <v>2</v>
      </c>
      <c r="F120" s="5" t="s">
        <v>1703</v>
      </c>
      <c r="G120" s="42" t="s">
        <v>1556</v>
      </c>
      <c r="H120" s="6"/>
      <c r="I120" s="6"/>
    </row>
    <row r="121" spans="1:9" ht="19.5" customHeight="1">
      <c r="A121" s="1"/>
      <c r="B121" s="1"/>
      <c r="C121" s="1" t="s">
        <v>12</v>
      </c>
      <c r="D121" s="20"/>
      <c r="E121" s="9">
        <f>SUM(E104:E120)</f>
        <v>32.64</v>
      </c>
      <c r="F121" s="5"/>
      <c r="G121" s="1"/>
    </row>
    <row r="122" spans="1:9" ht="19.5" customHeight="1">
      <c r="A122" s="1"/>
      <c r="B122" s="1"/>
      <c r="C122" s="1" t="s">
        <v>150</v>
      </c>
      <c r="D122" s="20"/>
      <c r="E122" s="108">
        <f>E121+E102+E95+E84+E77+E62+E51+E42+E25+E20+E9+E35</f>
        <v>182.61</v>
      </c>
      <c r="F122" s="5"/>
      <c r="G122" s="1"/>
    </row>
    <row r="123" spans="1:9">
      <c r="A123" s="100"/>
      <c r="B123" s="100" t="s">
        <v>1319</v>
      </c>
      <c r="C123" s="100"/>
      <c r="D123" s="100"/>
      <c r="E123" s="100"/>
      <c r="F123" s="100"/>
      <c r="G123" s="100"/>
    </row>
  </sheetData>
  <mergeCells count="45">
    <mergeCell ref="C72:C74"/>
    <mergeCell ref="C104:C107"/>
    <mergeCell ref="A1:G1"/>
    <mergeCell ref="A2:G2"/>
    <mergeCell ref="A4:A9"/>
    <mergeCell ref="B4:B9"/>
    <mergeCell ref="A21:A25"/>
    <mergeCell ref="B21:B25"/>
    <mergeCell ref="A26:A35"/>
    <mergeCell ref="B26:B35"/>
    <mergeCell ref="A10:A20"/>
    <mergeCell ref="B10:B20"/>
    <mergeCell ref="A52:A62"/>
    <mergeCell ref="B52:B62"/>
    <mergeCell ref="A63:A77"/>
    <mergeCell ref="B63:B77"/>
    <mergeCell ref="A96:A101"/>
    <mergeCell ref="B96:B101"/>
    <mergeCell ref="A78:A84"/>
    <mergeCell ref="B78:B84"/>
    <mergeCell ref="A85:A95"/>
    <mergeCell ref="B85:B95"/>
    <mergeCell ref="C26:C28"/>
    <mergeCell ref="C36:C39"/>
    <mergeCell ref="C69:C71"/>
    <mergeCell ref="B36:B42"/>
    <mergeCell ref="A43:A51"/>
    <mergeCell ref="B43:B51"/>
    <mergeCell ref="A36:A42"/>
    <mergeCell ref="C97:C100"/>
    <mergeCell ref="C92:C94"/>
    <mergeCell ref="C45:C50"/>
    <mergeCell ref="C85:C91"/>
    <mergeCell ref="C7:C8"/>
    <mergeCell ref="C55:C59"/>
    <mergeCell ref="C79:C82"/>
    <mergeCell ref="C63:C68"/>
    <mergeCell ref="C52:C54"/>
    <mergeCell ref="C31:C33"/>
    <mergeCell ref="C21:C22"/>
    <mergeCell ref="C75:C76"/>
    <mergeCell ref="C12:C15"/>
    <mergeCell ref="C29:C30"/>
    <mergeCell ref="C18:C19"/>
    <mergeCell ref="C10:C11"/>
  </mergeCells>
  <pageMargins left="0.53" right="0.25" top="0.55000000000000004" bottom="0.42" header="0.3" footer="0.3"/>
  <pageSetup paperSize="9"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78"/>
  <sheetViews>
    <sheetView topLeftCell="A165" workbookViewId="0">
      <selection activeCell="D170" sqref="D170"/>
    </sheetView>
  </sheetViews>
  <sheetFormatPr defaultRowHeight="15"/>
  <cols>
    <col min="1" max="1" width="6.28515625" customWidth="1"/>
    <col min="2" max="2" width="11.5703125" customWidth="1"/>
    <col min="3" max="3" width="14.140625" customWidth="1"/>
    <col min="4" max="4" width="45.7109375" customWidth="1"/>
    <col min="5" max="5" width="9.7109375" customWidth="1"/>
    <col min="6" max="6" width="27" customWidth="1"/>
    <col min="7" max="7" width="20.7109375" customWidth="1"/>
    <col min="8" max="8" width="27.7109375" customWidth="1"/>
    <col min="9" max="9" width="17" customWidth="1"/>
    <col min="10" max="10" width="15.28515625" customWidth="1"/>
  </cols>
  <sheetData>
    <row r="1" spans="1:9" ht="21">
      <c r="A1" s="255" t="s">
        <v>55</v>
      </c>
      <c r="B1" s="256"/>
      <c r="C1" s="256"/>
      <c r="D1" s="256"/>
      <c r="E1" s="256"/>
      <c r="F1" s="256"/>
      <c r="G1" s="256"/>
    </row>
    <row r="2" spans="1:9" ht="15.75">
      <c r="A2" s="257" t="s">
        <v>260</v>
      </c>
      <c r="B2" s="257"/>
      <c r="C2" s="257"/>
      <c r="D2" s="257"/>
      <c r="E2" s="257"/>
      <c r="F2" s="257"/>
      <c r="G2" s="257"/>
    </row>
    <row r="3" spans="1:9" s="7" customFormat="1" ht="30" customHeight="1">
      <c r="A3" s="3" t="s">
        <v>0</v>
      </c>
      <c r="B3" s="3" t="s">
        <v>10</v>
      </c>
      <c r="C3" s="3" t="s">
        <v>11</v>
      </c>
      <c r="D3" s="3" t="s">
        <v>54</v>
      </c>
      <c r="E3" s="3" t="s">
        <v>59</v>
      </c>
      <c r="F3" s="3" t="s">
        <v>1473</v>
      </c>
      <c r="G3" s="3" t="s">
        <v>57</v>
      </c>
      <c r="H3" s="6"/>
      <c r="I3" s="6"/>
    </row>
    <row r="4" spans="1:9" ht="31.5" customHeight="1">
      <c r="A4" s="251" t="s">
        <v>1</v>
      </c>
      <c r="B4" s="247" t="s">
        <v>246</v>
      </c>
      <c r="C4" s="8" t="s">
        <v>333</v>
      </c>
      <c r="D4" s="82" t="s">
        <v>1232</v>
      </c>
      <c r="E4" s="9">
        <v>2</v>
      </c>
      <c r="F4" s="5" t="s">
        <v>1418</v>
      </c>
      <c r="G4" s="12" t="s">
        <v>92</v>
      </c>
      <c r="H4" s="4"/>
      <c r="I4" s="4"/>
    </row>
    <row r="5" spans="1:9" ht="34.5" customHeight="1">
      <c r="A5" s="251"/>
      <c r="B5" s="247"/>
      <c r="C5" s="247" t="s">
        <v>334</v>
      </c>
      <c r="D5" s="8" t="s">
        <v>401</v>
      </c>
      <c r="E5" s="5">
        <v>0.04</v>
      </c>
      <c r="F5" s="5" t="s">
        <v>1116</v>
      </c>
      <c r="G5" s="61" t="s">
        <v>1503</v>
      </c>
      <c r="H5" s="4"/>
      <c r="I5" s="4"/>
    </row>
    <row r="6" spans="1:9" ht="71.25" customHeight="1">
      <c r="A6" s="251"/>
      <c r="B6" s="247"/>
      <c r="C6" s="247"/>
      <c r="D6" s="8" t="s">
        <v>410</v>
      </c>
      <c r="E6" s="5">
        <v>24</v>
      </c>
      <c r="F6" s="5" t="s">
        <v>1403</v>
      </c>
      <c r="G6" s="5" t="s">
        <v>787</v>
      </c>
      <c r="H6" s="4" t="s">
        <v>1403</v>
      </c>
      <c r="I6" s="7" t="s">
        <v>1398</v>
      </c>
    </row>
    <row r="7" spans="1:9" ht="72.75" customHeight="1">
      <c r="A7" s="251"/>
      <c r="B7" s="247"/>
      <c r="C7" s="247" t="s">
        <v>386</v>
      </c>
      <c r="D7" s="8" t="s">
        <v>385</v>
      </c>
      <c r="E7" s="5">
        <v>0.2</v>
      </c>
      <c r="F7" s="27" t="s">
        <v>1485</v>
      </c>
      <c r="G7" s="44" t="s">
        <v>958</v>
      </c>
      <c r="H7" s="4"/>
      <c r="I7" s="4"/>
    </row>
    <row r="8" spans="1:9" ht="72.75" customHeight="1">
      <c r="A8" s="251"/>
      <c r="B8" s="247"/>
      <c r="C8" s="247"/>
      <c r="D8" s="8" t="s">
        <v>1489</v>
      </c>
      <c r="E8" s="5">
        <v>0.1</v>
      </c>
      <c r="F8" s="27" t="s">
        <v>1485</v>
      </c>
      <c r="G8" s="44" t="s">
        <v>958</v>
      </c>
      <c r="H8" s="4"/>
      <c r="I8" s="4"/>
    </row>
    <row r="9" spans="1:9" ht="60" customHeight="1">
      <c r="A9" s="251"/>
      <c r="B9" s="247"/>
      <c r="C9" s="247"/>
      <c r="D9" s="8" t="s">
        <v>778</v>
      </c>
      <c r="E9" s="5">
        <v>2</v>
      </c>
      <c r="F9" s="6" t="s">
        <v>1403</v>
      </c>
      <c r="G9" s="5" t="s">
        <v>1479</v>
      </c>
      <c r="H9" s="4" t="s">
        <v>1403</v>
      </c>
      <c r="I9" s="7" t="s">
        <v>1398</v>
      </c>
    </row>
    <row r="10" spans="1:9" ht="76.5" customHeight="1">
      <c r="A10" s="251"/>
      <c r="B10" s="247"/>
      <c r="C10" s="247" t="s">
        <v>335</v>
      </c>
      <c r="D10" s="8" t="s">
        <v>362</v>
      </c>
      <c r="E10" s="5">
        <v>1.8</v>
      </c>
      <c r="F10" s="4" t="s">
        <v>1485</v>
      </c>
      <c r="G10" s="5" t="s">
        <v>363</v>
      </c>
      <c r="H10" s="4"/>
      <c r="I10" s="4"/>
    </row>
    <row r="11" spans="1:9" ht="63.75" customHeight="1">
      <c r="A11" s="251"/>
      <c r="B11" s="247"/>
      <c r="C11" s="247"/>
      <c r="D11" s="8" t="s">
        <v>1404</v>
      </c>
      <c r="E11" s="5">
        <v>10</v>
      </c>
      <c r="F11" s="4" t="s">
        <v>1403</v>
      </c>
      <c r="G11" s="5" t="s">
        <v>787</v>
      </c>
      <c r="H11" s="4" t="s">
        <v>1403</v>
      </c>
      <c r="I11" s="7" t="s">
        <v>1398</v>
      </c>
    </row>
    <row r="12" spans="1:9" ht="32.25" customHeight="1">
      <c r="A12" s="251"/>
      <c r="B12" s="247"/>
      <c r="C12" s="247"/>
      <c r="D12" s="75" t="s">
        <v>1337</v>
      </c>
      <c r="E12" s="9">
        <v>0.5</v>
      </c>
      <c r="F12" s="5" t="s">
        <v>1344</v>
      </c>
      <c r="G12" s="12" t="s">
        <v>92</v>
      </c>
      <c r="H12" s="4"/>
      <c r="I12" s="4"/>
    </row>
    <row r="13" spans="1:9" ht="17.25" customHeight="1">
      <c r="A13" s="251"/>
      <c r="B13" s="247"/>
      <c r="C13" s="8" t="s">
        <v>12</v>
      </c>
      <c r="D13" s="8"/>
      <c r="E13" s="5">
        <f>SUM(E4:E12)</f>
        <v>40.64</v>
      </c>
      <c r="F13" s="5"/>
      <c r="G13" s="5"/>
      <c r="H13" s="4"/>
      <c r="I13" s="4"/>
    </row>
    <row r="14" spans="1:9" ht="31.5" customHeight="1">
      <c r="A14" s="81"/>
      <c r="B14" s="80"/>
      <c r="C14" s="247" t="s">
        <v>336</v>
      </c>
      <c r="D14" s="83" t="s">
        <v>1227</v>
      </c>
      <c r="E14" s="9">
        <v>2</v>
      </c>
      <c r="F14" s="5" t="s">
        <v>1418</v>
      </c>
      <c r="G14" s="12" t="s">
        <v>92</v>
      </c>
      <c r="H14" s="4"/>
      <c r="I14" s="4"/>
    </row>
    <row r="15" spans="1:9" ht="30">
      <c r="A15" s="251" t="s">
        <v>2</v>
      </c>
      <c r="B15" s="247" t="s">
        <v>247</v>
      </c>
      <c r="C15" s="247"/>
      <c r="D15" s="75" t="s">
        <v>1336</v>
      </c>
      <c r="E15" s="9">
        <v>0.5</v>
      </c>
      <c r="F15" s="5" t="s">
        <v>1344</v>
      </c>
      <c r="G15" s="12" t="s">
        <v>92</v>
      </c>
      <c r="H15" s="4"/>
      <c r="I15" s="4"/>
    </row>
    <row r="16" spans="1:9" ht="75">
      <c r="A16" s="251"/>
      <c r="B16" s="247"/>
      <c r="C16" s="247" t="s">
        <v>247</v>
      </c>
      <c r="D16" s="8" t="s">
        <v>366</v>
      </c>
      <c r="E16" s="5">
        <v>19</v>
      </c>
      <c r="F16" s="4" t="s">
        <v>1485</v>
      </c>
      <c r="G16" s="44" t="s">
        <v>958</v>
      </c>
      <c r="H16" s="4"/>
      <c r="I16" s="4"/>
    </row>
    <row r="17" spans="1:9" ht="75">
      <c r="A17" s="251"/>
      <c r="B17" s="247"/>
      <c r="C17" s="247"/>
      <c r="D17" s="8" t="s">
        <v>375</v>
      </c>
      <c r="E17" s="5">
        <v>3</v>
      </c>
      <c r="F17" s="4" t="s">
        <v>1485</v>
      </c>
      <c r="G17" s="44" t="s">
        <v>958</v>
      </c>
      <c r="H17" s="4"/>
      <c r="I17" s="4"/>
    </row>
    <row r="18" spans="1:9" ht="45">
      <c r="A18" s="251"/>
      <c r="B18" s="247"/>
      <c r="C18" s="247"/>
      <c r="D18" s="8" t="s">
        <v>414</v>
      </c>
      <c r="E18" s="5">
        <v>2</v>
      </c>
      <c r="F18" s="5" t="s">
        <v>1205</v>
      </c>
      <c r="G18" s="5" t="s">
        <v>92</v>
      </c>
      <c r="H18" s="4"/>
      <c r="I18" s="4"/>
    </row>
    <row r="19" spans="1:9" ht="75">
      <c r="A19" s="251"/>
      <c r="B19" s="247"/>
      <c r="C19" s="247"/>
      <c r="D19" s="8" t="s">
        <v>387</v>
      </c>
      <c r="E19" s="5">
        <v>1.8</v>
      </c>
      <c r="F19" s="4" t="s">
        <v>1485</v>
      </c>
      <c r="G19" s="5" t="s">
        <v>363</v>
      </c>
      <c r="H19" s="4"/>
      <c r="I19" s="4"/>
    </row>
    <row r="20" spans="1:9" ht="60" customHeight="1">
      <c r="A20" s="251"/>
      <c r="B20" s="247"/>
      <c r="C20" s="247"/>
      <c r="D20" s="5" t="s">
        <v>1332</v>
      </c>
      <c r="E20" s="9">
        <v>6</v>
      </c>
      <c r="F20" s="5" t="s">
        <v>1205</v>
      </c>
      <c r="G20" s="5" t="s">
        <v>1507</v>
      </c>
      <c r="H20" s="4"/>
      <c r="I20" s="4"/>
    </row>
    <row r="21" spans="1:9" ht="30">
      <c r="A21" s="251"/>
      <c r="B21" s="247"/>
      <c r="C21" s="8" t="s">
        <v>337</v>
      </c>
      <c r="D21" s="82" t="s">
        <v>1229</v>
      </c>
      <c r="E21" s="9">
        <v>2</v>
      </c>
      <c r="F21" s="5" t="s">
        <v>1418</v>
      </c>
      <c r="G21" s="12" t="s">
        <v>92</v>
      </c>
      <c r="H21" s="4"/>
      <c r="I21" s="4"/>
    </row>
    <row r="22" spans="1:9">
      <c r="A22" s="251"/>
      <c r="B22" s="247"/>
      <c r="C22" s="8" t="s">
        <v>12</v>
      </c>
      <c r="D22" s="8"/>
      <c r="E22" s="5">
        <f>SUM(E14:E21)</f>
        <v>36.299999999999997</v>
      </c>
      <c r="F22" s="5"/>
      <c r="G22" s="5"/>
      <c r="H22" s="4"/>
      <c r="I22" s="4"/>
    </row>
    <row r="23" spans="1:9" ht="75">
      <c r="A23" s="251" t="s">
        <v>3</v>
      </c>
      <c r="B23" s="247" t="s">
        <v>248</v>
      </c>
      <c r="C23" s="247" t="s">
        <v>248</v>
      </c>
      <c r="D23" s="8" t="s">
        <v>1470</v>
      </c>
      <c r="E23" s="5">
        <v>0.2</v>
      </c>
      <c r="F23" s="27" t="s">
        <v>1485</v>
      </c>
      <c r="G23" s="44" t="s">
        <v>958</v>
      </c>
      <c r="H23" s="4"/>
      <c r="I23" s="4"/>
    </row>
    <row r="24" spans="1:9" ht="60">
      <c r="A24" s="251"/>
      <c r="B24" s="247"/>
      <c r="C24" s="247"/>
      <c r="D24" s="8" t="s">
        <v>779</v>
      </c>
      <c r="E24" s="5">
        <v>0.6</v>
      </c>
      <c r="F24" s="6" t="s">
        <v>1403</v>
      </c>
      <c r="G24" s="5" t="s">
        <v>1479</v>
      </c>
      <c r="H24" s="4" t="s">
        <v>1403</v>
      </c>
      <c r="I24" s="7" t="s">
        <v>1398</v>
      </c>
    </row>
    <row r="25" spans="1:9" ht="75">
      <c r="A25" s="251"/>
      <c r="B25" s="247"/>
      <c r="C25" s="247"/>
      <c r="D25" s="8" t="s">
        <v>388</v>
      </c>
      <c r="E25" s="5">
        <v>1.5</v>
      </c>
      <c r="F25" s="4" t="s">
        <v>1485</v>
      </c>
      <c r="G25" s="5" t="s">
        <v>363</v>
      </c>
      <c r="H25" s="4"/>
      <c r="I25" s="4"/>
    </row>
    <row r="26" spans="1:9" ht="45">
      <c r="A26" s="251"/>
      <c r="B26" s="247"/>
      <c r="C26" s="247"/>
      <c r="D26" s="8" t="s">
        <v>415</v>
      </c>
      <c r="E26" s="5">
        <v>8</v>
      </c>
      <c r="F26" s="5" t="s">
        <v>1205</v>
      </c>
      <c r="G26" s="5" t="s">
        <v>1507</v>
      </c>
      <c r="H26" s="4"/>
      <c r="I26" s="4"/>
    </row>
    <row r="27" spans="1:9" ht="75">
      <c r="A27" s="251"/>
      <c r="B27" s="247"/>
      <c r="C27" s="8" t="s">
        <v>338</v>
      </c>
      <c r="D27" s="8" t="s">
        <v>377</v>
      </c>
      <c r="E27" s="8">
        <v>0.8</v>
      </c>
      <c r="F27" s="4" t="s">
        <v>1485</v>
      </c>
      <c r="G27" s="44" t="s">
        <v>958</v>
      </c>
      <c r="H27" s="4"/>
      <c r="I27" s="4"/>
    </row>
    <row r="28" spans="1:9" ht="75">
      <c r="A28" s="251"/>
      <c r="B28" s="247"/>
      <c r="C28" s="8" t="s">
        <v>339</v>
      </c>
      <c r="D28" s="8" t="s">
        <v>374</v>
      </c>
      <c r="E28" s="8">
        <v>2.5</v>
      </c>
      <c r="F28" s="4" t="s">
        <v>1485</v>
      </c>
      <c r="G28" s="44" t="s">
        <v>958</v>
      </c>
      <c r="H28" s="4"/>
      <c r="I28" s="4"/>
    </row>
    <row r="29" spans="1:9">
      <c r="A29" s="251"/>
      <c r="B29" s="247"/>
      <c r="C29" s="80" t="s">
        <v>12</v>
      </c>
      <c r="D29" s="11"/>
      <c r="E29" s="15">
        <f>SUM(E23:E28)</f>
        <v>13.600000000000001</v>
      </c>
      <c r="F29" s="15"/>
      <c r="G29" s="13"/>
      <c r="H29" s="4"/>
      <c r="I29" s="4"/>
    </row>
    <row r="30" spans="1:9" ht="30">
      <c r="A30" s="251" t="s">
        <v>4</v>
      </c>
      <c r="B30" s="247" t="s">
        <v>249</v>
      </c>
      <c r="C30" s="247" t="s">
        <v>340</v>
      </c>
      <c r="D30" s="23" t="s">
        <v>395</v>
      </c>
      <c r="E30" s="5">
        <v>1</v>
      </c>
      <c r="F30" s="5" t="s">
        <v>1116</v>
      </c>
      <c r="G30" s="34" t="s">
        <v>1117</v>
      </c>
      <c r="H30" s="4"/>
      <c r="I30" s="4"/>
    </row>
    <row r="31" spans="1:9" ht="30">
      <c r="A31" s="251"/>
      <c r="B31" s="247"/>
      <c r="C31" s="247"/>
      <c r="D31" s="75" t="s">
        <v>1338</v>
      </c>
      <c r="E31" s="9">
        <v>0.5</v>
      </c>
      <c r="F31" s="5" t="s">
        <v>1344</v>
      </c>
      <c r="G31" s="12" t="s">
        <v>92</v>
      </c>
      <c r="H31" s="4"/>
      <c r="I31" s="4"/>
    </row>
    <row r="32" spans="1:9" ht="75">
      <c r="A32" s="251"/>
      <c r="B32" s="247"/>
      <c r="C32" s="247" t="s">
        <v>249</v>
      </c>
      <c r="D32" s="8" t="s">
        <v>379</v>
      </c>
      <c r="E32" s="5">
        <v>0.5</v>
      </c>
      <c r="F32" s="27" t="s">
        <v>1485</v>
      </c>
      <c r="G32" s="44" t="s">
        <v>958</v>
      </c>
      <c r="H32" s="4"/>
      <c r="I32" s="4"/>
    </row>
    <row r="33" spans="1:9" ht="75">
      <c r="A33" s="251"/>
      <c r="B33" s="247"/>
      <c r="C33" s="247"/>
      <c r="D33" s="8" t="s">
        <v>382</v>
      </c>
      <c r="E33" s="5">
        <v>1.8</v>
      </c>
      <c r="F33" s="4" t="s">
        <v>1485</v>
      </c>
      <c r="G33" s="5" t="s">
        <v>363</v>
      </c>
      <c r="H33" s="4"/>
      <c r="I33" s="4"/>
    </row>
    <row r="34" spans="1:9" ht="17.25" customHeight="1">
      <c r="A34" s="251"/>
      <c r="B34" s="247"/>
      <c r="C34" s="8" t="s">
        <v>341</v>
      </c>
      <c r="D34" s="8"/>
      <c r="E34" s="5"/>
      <c r="F34" s="5"/>
      <c r="G34" s="5"/>
      <c r="H34" s="4"/>
      <c r="I34" s="4"/>
    </row>
    <row r="35" spans="1:9" ht="30">
      <c r="A35" s="251"/>
      <c r="B35" s="247"/>
      <c r="C35" s="8" t="s">
        <v>342</v>
      </c>
      <c r="D35" s="8"/>
      <c r="E35" s="5"/>
      <c r="F35" s="5"/>
      <c r="G35" s="12"/>
      <c r="H35" s="4"/>
      <c r="I35" s="4"/>
    </row>
    <row r="36" spans="1:9">
      <c r="A36" s="251"/>
      <c r="B36" s="247"/>
      <c r="C36" s="8" t="s">
        <v>12</v>
      </c>
      <c r="D36" s="8"/>
      <c r="E36" s="5">
        <f>SUM(E30:E35)</f>
        <v>3.8</v>
      </c>
      <c r="F36" s="5"/>
      <c r="G36" s="5"/>
      <c r="H36" s="4"/>
      <c r="I36" s="4"/>
    </row>
    <row r="37" spans="1:9" ht="75">
      <c r="A37" s="251" t="s">
        <v>5</v>
      </c>
      <c r="B37" s="268" t="s">
        <v>250</v>
      </c>
      <c r="C37" s="247" t="s">
        <v>367</v>
      </c>
      <c r="D37" s="16" t="s">
        <v>383</v>
      </c>
      <c r="E37" s="15">
        <v>1.8</v>
      </c>
      <c r="F37" s="4" t="s">
        <v>1485</v>
      </c>
      <c r="G37" s="5" t="s">
        <v>363</v>
      </c>
      <c r="H37" s="4"/>
      <c r="I37" s="4"/>
    </row>
    <row r="38" spans="1:9" ht="30">
      <c r="A38" s="251"/>
      <c r="B38" s="268"/>
      <c r="C38" s="247"/>
      <c r="D38" s="82" t="s">
        <v>1228</v>
      </c>
      <c r="E38" s="9">
        <v>2</v>
      </c>
      <c r="F38" s="15" t="s">
        <v>1418</v>
      </c>
      <c r="G38" s="12" t="s">
        <v>92</v>
      </c>
      <c r="H38" s="4"/>
      <c r="I38" s="4"/>
    </row>
    <row r="39" spans="1:9">
      <c r="A39" s="251"/>
      <c r="B39" s="268"/>
      <c r="C39" s="8" t="s">
        <v>364</v>
      </c>
      <c r="D39" s="8"/>
      <c r="E39" s="5">
        <v>0</v>
      </c>
      <c r="F39" s="5"/>
      <c r="G39" s="5"/>
      <c r="H39" s="4"/>
      <c r="I39" s="4"/>
    </row>
    <row r="40" spans="1:9">
      <c r="A40" s="251"/>
      <c r="B40" s="268"/>
      <c r="C40" s="8" t="s">
        <v>343</v>
      </c>
      <c r="D40" s="8"/>
      <c r="E40" s="5">
        <v>0</v>
      </c>
      <c r="F40" s="5"/>
      <c r="G40" s="5"/>
      <c r="H40" s="4"/>
      <c r="I40" s="4"/>
    </row>
    <row r="41" spans="1:9" ht="63">
      <c r="A41" s="251"/>
      <c r="B41" s="268"/>
      <c r="C41" s="80" t="s">
        <v>344</v>
      </c>
      <c r="D41" s="70" t="s">
        <v>1230</v>
      </c>
      <c r="E41" s="9">
        <v>2</v>
      </c>
      <c r="F41" s="13" t="s">
        <v>1418</v>
      </c>
      <c r="G41" s="12" t="s">
        <v>92</v>
      </c>
      <c r="H41" s="4"/>
      <c r="I41" s="4"/>
    </row>
    <row r="42" spans="1:9">
      <c r="A42" s="81"/>
      <c r="B42" s="268"/>
      <c r="C42" s="80" t="s">
        <v>250</v>
      </c>
      <c r="D42" s="16"/>
      <c r="E42" s="13">
        <v>0</v>
      </c>
      <c r="F42" s="13"/>
      <c r="G42" s="12"/>
      <c r="H42" s="4"/>
      <c r="I42" s="4"/>
    </row>
    <row r="43" spans="1:9">
      <c r="A43" s="81"/>
      <c r="B43" s="268"/>
      <c r="C43" s="80" t="s">
        <v>12</v>
      </c>
      <c r="D43" s="16"/>
      <c r="E43" s="13">
        <f>SUM(E37:E42)</f>
        <v>5.8</v>
      </c>
      <c r="F43" s="13"/>
      <c r="G43" s="12"/>
      <c r="H43" s="4"/>
      <c r="I43" s="4"/>
    </row>
    <row r="44" spans="1:9" ht="75">
      <c r="A44" s="251" t="s">
        <v>6</v>
      </c>
      <c r="B44" s="247" t="s">
        <v>251</v>
      </c>
      <c r="C44" s="247" t="s">
        <v>251</v>
      </c>
      <c r="D44" s="8" t="s">
        <v>381</v>
      </c>
      <c r="E44" s="5">
        <v>1.8</v>
      </c>
      <c r="F44" s="4" t="s">
        <v>1485</v>
      </c>
      <c r="G44" s="5" t="s">
        <v>363</v>
      </c>
      <c r="H44" s="4"/>
      <c r="I44" s="4"/>
    </row>
    <row r="45" spans="1:9" ht="30">
      <c r="A45" s="251"/>
      <c r="B45" s="247"/>
      <c r="C45" s="247"/>
      <c r="D45" s="8" t="s">
        <v>413</v>
      </c>
      <c r="E45" s="5">
        <v>0.5</v>
      </c>
      <c r="F45" s="5"/>
      <c r="G45" s="5"/>
      <c r="H45" s="4"/>
      <c r="I45" s="4"/>
    </row>
    <row r="46" spans="1:9" ht="75">
      <c r="A46" s="251"/>
      <c r="B46" s="247"/>
      <c r="C46" s="247"/>
      <c r="D46" s="8" t="s">
        <v>404</v>
      </c>
      <c r="E46" s="5">
        <v>3</v>
      </c>
      <c r="F46" s="5" t="s">
        <v>1485</v>
      </c>
      <c r="G46" s="44" t="s">
        <v>958</v>
      </c>
      <c r="H46" s="4"/>
      <c r="I46" s="4"/>
    </row>
    <row r="47" spans="1:9" ht="60">
      <c r="A47" s="251"/>
      <c r="B47" s="247"/>
      <c r="C47" s="247"/>
      <c r="D47" s="5" t="s">
        <v>867</v>
      </c>
      <c r="E47" s="9">
        <v>0.5</v>
      </c>
      <c r="F47" s="6" t="s">
        <v>1397</v>
      </c>
      <c r="G47" s="25" t="s">
        <v>862</v>
      </c>
      <c r="H47" s="6" t="s">
        <v>1397</v>
      </c>
      <c r="I47" s="6" t="s">
        <v>1398</v>
      </c>
    </row>
    <row r="48" spans="1:9" ht="31.5">
      <c r="A48" s="251"/>
      <c r="B48" s="247"/>
      <c r="C48" s="247"/>
      <c r="D48" s="20" t="s">
        <v>1356</v>
      </c>
      <c r="E48" s="9">
        <v>0.7</v>
      </c>
      <c r="F48" s="9" t="s">
        <v>1344</v>
      </c>
      <c r="G48" s="27" t="s">
        <v>92</v>
      </c>
      <c r="H48" s="4"/>
      <c r="I48" s="4"/>
    </row>
    <row r="49" spans="1:9" ht="30">
      <c r="A49" s="251"/>
      <c r="B49" s="247"/>
      <c r="C49" s="8" t="s">
        <v>25</v>
      </c>
      <c r="D49" s="83" t="s">
        <v>1226</v>
      </c>
      <c r="E49" s="9">
        <v>2</v>
      </c>
      <c r="F49" s="5" t="s">
        <v>1418</v>
      </c>
      <c r="G49" s="12" t="s">
        <v>92</v>
      </c>
      <c r="H49" s="4"/>
      <c r="I49" s="4"/>
    </row>
    <row r="50" spans="1:9" ht="30">
      <c r="A50" s="251"/>
      <c r="B50" s="247"/>
      <c r="C50" s="8" t="s">
        <v>345</v>
      </c>
      <c r="D50" s="75" t="s">
        <v>1340</v>
      </c>
      <c r="E50" s="9">
        <v>0.5</v>
      </c>
      <c r="F50" s="5" t="s">
        <v>1344</v>
      </c>
      <c r="G50" s="12" t="s">
        <v>92</v>
      </c>
      <c r="H50" s="4"/>
      <c r="I50" s="4"/>
    </row>
    <row r="51" spans="1:9">
      <c r="A51" s="251"/>
      <c r="B51" s="247"/>
      <c r="C51" s="8" t="s">
        <v>12</v>
      </c>
      <c r="D51" s="8"/>
      <c r="E51" s="5">
        <f>SUM(E44:E50)</f>
        <v>9</v>
      </c>
      <c r="F51" s="5"/>
      <c r="G51" s="5"/>
      <c r="H51" s="4"/>
      <c r="I51" s="4"/>
    </row>
    <row r="52" spans="1:9" ht="78.75" customHeight="1">
      <c r="A52" s="251" t="s">
        <v>7</v>
      </c>
      <c r="B52" s="247" t="s">
        <v>252</v>
      </c>
      <c r="C52" s="116" t="s">
        <v>346</v>
      </c>
      <c r="D52" s="8" t="s">
        <v>369</v>
      </c>
      <c r="E52" s="5">
        <v>2</v>
      </c>
      <c r="F52" s="4" t="s">
        <v>1485</v>
      </c>
      <c r="G52" s="44" t="s">
        <v>958</v>
      </c>
      <c r="H52" s="4"/>
      <c r="I52" s="4"/>
    </row>
    <row r="53" spans="1:9" ht="30">
      <c r="A53" s="251"/>
      <c r="B53" s="247"/>
      <c r="C53" s="8" t="s">
        <v>368</v>
      </c>
      <c r="D53" s="83" t="s">
        <v>1221</v>
      </c>
      <c r="E53" s="9">
        <v>2</v>
      </c>
      <c r="F53" s="5" t="s">
        <v>1418</v>
      </c>
      <c r="G53" s="12" t="s">
        <v>92</v>
      </c>
      <c r="H53" s="4"/>
      <c r="I53" s="4"/>
    </row>
    <row r="54" spans="1:9" ht="30">
      <c r="A54" s="251"/>
      <c r="B54" s="247"/>
      <c r="C54" s="247" t="s">
        <v>252</v>
      </c>
      <c r="D54" s="83" t="s">
        <v>1234</v>
      </c>
      <c r="E54" s="9">
        <v>2</v>
      </c>
      <c r="F54" s="5" t="s">
        <v>1418</v>
      </c>
      <c r="G54" s="12" t="s">
        <v>92</v>
      </c>
      <c r="H54" s="4"/>
      <c r="I54" s="4"/>
    </row>
    <row r="55" spans="1:9" ht="60">
      <c r="A55" s="251"/>
      <c r="B55" s="247"/>
      <c r="C55" s="247"/>
      <c r="D55" s="16" t="s">
        <v>411</v>
      </c>
      <c r="E55" s="15">
        <v>1.272</v>
      </c>
      <c r="F55" s="6" t="s">
        <v>1397</v>
      </c>
      <c r="G55" s="25" t="s">
        <v>862</v>
      </c>
      <c r="H55" s="6" t="s">
        <v>1397</v>
      </c>
      <c r="I55" s="6" t="s">
        <v>1398</v>
      </c>
    </row>
    <row r="56" spans="1:9" ht="30">
      <c r="A56" s="251"/>
      <c r="B56" s="247"/>
      <c r="C56" s="247" t="s">
        <v>347</v>
      </c>
      <c r="D56" s="75" t="s">
        <v>1339</v>
      </c>
      <c r="E56" s="9">
        <v>0.5</v>
      </c>
      <c r="F56" s="15" t="s">
        <v>1344</v>
      </c>
      <c r="G56" s="13" t="s">
        <v>92</v>
      </c>
      <c r="H56" s="4"/>
      <c r="I56" s="4"/>
    </row>
    <row r="57" spans="1:9" ht="26.25" customHeight="1">
      <c r="A57" s="251"/>
      <c r="B57" s="247"/>
      <c r="C57" s="247"/>
      <c r="D57" s="8" t="s">
        <v>1425</v>
      </c>
      <c r="E57" s="5">
        <v>0.15</v>
      </c>
      <c r="F57" s="5" t="s">
        <v>485</v>
      </c>
      <c r="G57" s="5" t="s">
        <v>1503</v>
      </c>
      <c r="H57" s="4"/>
      <c r="I57" s="4"/>
    </row>
    <row r="58" spans="1:9" ht="20.25" customHeight="1">
      <c r="A58" s="251"/>
      <c r="B58" s="247"/>
      <c r="C58" s="80" t="s">
        <v>12</v>
      </c>
      <c r="D58" s="16"/>
      <c r="E58" s="15">
        <f>SUM(E52:E57)</f>
        <v>7.9220000000000006</v>
      </c>
      <c r="F58" s="15"/>
      <c r="G58" s="12"/>
      <c r="H58" s="4"/>
      <c r="I58" s="4"/>
    </row>
    <row r="59" spans="1:9" ht="77.25" customHeight="1">
      <c r="A59" s="251" t="s">
        <v>9</v>
      </c>
      <c r="B59" s="247" t="s">
        <v>253</v>
      </c>
      <c r="C59" s="247" t="s">
        <v>1469</v>
      </c>
      <c r="D59" s="8" t="s">
        <v>392</v>
      </c>
      <c r="E59" s="5">
        <v>2</v>
      </c>
      <c r="F59" s="4" t="s">
        <v>1485</v>
      </c>
      <c r="G59" s="5" t="s">
        <v>363</v>
      </c>
      <c r="H59" s="4"/>
      <c r="I59" s="4"/>
    </row>
    <row r="60" spans="1:9" ht="79.5" customHeight="1">
      <c r="A60" s="251"/>
      <c r="B60" s="247"/>
      <c r="C60" s="247"/>
      <c r="D60" s="8" t="s">
        <v>393</v>
      </c>
      <c r="E60" s="5">
        <v>1.25</v>
      </c>
      <c r="F60" s="5" t="s">
        <v>1485</v>
      </c>
      <c r="G60" s="5" t="s">
        <v>1078</v>
      </c>
      <c r="H60" s="4"/>
      <c r="I60" s="4"/>
    </row>
    <row r="61" spans="1:9" ht="21.75" customHeight="1">
      <c r="A61" s="251"/>
      <c r="B61" s="247"/>
      <c r="C61" s="247"/>
      <c r="D61" s="5" t="s">
        <v>416</v>
      </c>
      <c r="E61" s="1">
        <v>0.5</v>
      </c>
      <c r="F61" s="1"/>
      <c r="G61" s="5"/>
      <c r="H61" s="4"/>
      <c r="I61" s="4"/>
    </row>
    <row r="62" spans="1:9" ht="81" customHeight="1">
      <c r="A62" s="251"/>
      <c r="B62" s="247"/>
      <c r="C62" s="247"/>
      <c r="D62" s="8" t="s">
        <v>394</v>
      </c>
      <c r="E62" s="5">
        <v>1.25</v>
      </c>
      <c r="F62" s="5" t="s">
        <v>1485</v>
      </c>
      <c r="G62" s="5" t="s">
        <v>1078</v>
      </c>
      <c r="H62" s="4"/>
      <c r="I62" s="4"/>
    </row>
    <row r="63" spans="1:9" ht="81" customHeight="1">
      <c r="A63" s="251"/>
      <c r="B63" s="247"/>
      <c r="C63" s="247"/>
      <c r="D63" s="5" t="s">
        <v>866</v>
      </c>
      <c r="E63" s="9">
        <v>0.5</v>
      </c>
      <c r="F63" s="6" t="s">
        <v>1397</v>
      </c>
      <c r="G63" s="25" t="s">
        <v>862</v>
      </c>
      <c r="H63" s="6" t="s">
        <v>1397</v>
      </c>
      <c r="I63" s="6" t="s">
        <v>1398</v>
      </c>
    </row>
    <row r="64" spans="1:9" ht="75">
      <c r="A64" s="251"/>
      <c r="B64" s="247"/>
      <c r="C64" s="247" t="s">
        <v>253</v>
      </c>
      <c r="D64" s="8" t="s">
        <v>373</v>
      </c>
      <c r="E64" s="5">
        <v>4</v>
      </c>
      <c r="F64" s="4" t="s">
        <v>1485</v>
      </c>
      <c r="G64" s="44" t="s">
        <v>958</v>
      </c>
      <c r="H64" s="4"/>
      <c r="I64" s="4"/>
    </row>
    <row r="65" spans="1:9" ht="75">
      <c r="A65" s="251"/>
      <c r="B65" s="247"/>
      <c r="C65" s="247"/>
      <c r="D65" s="8" t="s">
        <v>389</v>
      </c>
      <c r="E65" s="5">
        <v>0.9</v>
      </c>
      <c r="F65" s="4" t="s">
        <v>1485</v>
      </c>
      <c r="G65" s="5" t="s">
        <v>363</v>
      </c>
      <c r="H65" s="4"/>
      <c r="I65" s="4"/>
    </row>
    <row r="66" spans="1:9" ht="30">
      <c r="A66" s="251"/>
      <c r="B66" s="247"/>
      <c r="C66" s="247"/>
      <c r="D66" s="82" t="s">
        <v>1238</v>
      </c>
      <c r="E66" s="9">
        <v>2</v>
      </c>
      <c r="F66" s="5" t="s">
        <v>1418</v>
      </c>
      <c r="G66" s="12" t="s">
        <v>92</v>
      </c>
      <c r="H66" s="4"/>
      <c r="I66" s="4"/>
    </row>
    <row r="67" spans="1:9" ht="75">
      <c r="A67" s="251"/>
      <c r="B67" s="247"/>
      <c r="C67" s="247"/>
      <c r="D67" s="8" t="s">
        <v>376</v>
      </c>
      <c r="E67" s="5">
        <v>0.5</v>
      </c>
      <c r="F67" s="4" t="s">
        <v>1485</v>
      </c>
      <c r="G67" s="44" t="s">
        <v>958</v>
      </c>
      <c r="H67" s="4"/>
      <c r="I67" s="4"/>
    </row>
    <row r="68" spans="1:9" ht="72.75" customHeight="1">
      <c r="A68" s="251"/>
      <c r="B68" s="247"/>
      <c r="C68" s="8" t="s">
        <v>348</v>
      </c>
      <c r="D68" s="8" t="s">
        <v>378</v>
      </c>
      <c r="E68" s="5">
        <v>0.2</v>
      </c>
      <c r="F68" s="27" t="s">
        <v>1485</v>
      </c>
      <c r="G68" s="44" t="s">
        <v>958</v>
      </c>
      <c r="H68" s="4"/>
      <c r="I68" s="4"/>
    </row>
    <row r="69" spans="1:9">
      <c r="A69" s="251"/>
      <c r="B69" s="247"/>
      <c r="C69" s="8" t="s">
        <v>12</v>
      </c>
      <c r="D69" s="8"/>
      <c r="E69" s="5">
        <f>SUM(E59:E68)</f>
        <v>13.1</v>
      </c>
      <c r="F69" s="5"/>
      <c r="G69" s="5"/>
      <c r="H69" s="4"/>
      <c r="I69" s="4"/>
    </row>
    <row r="70" spans="1:9" ht="30">
      <c r="A70" s="251" t="s">
        <v>13</v>
      </c>
      <c r="B70" s="247" t="s">
        <v>254</v>
      </c>
      <c r="C70" s="8" t="s">
        <v>349</v>
      </c>
      <c r="D70" s="75" t="s">
        <v>1341</v>
      </c>
      <c r="E70" s="9">
        <v>0.5</v>
      </c>
      <c r="F70" s="5" t="s">
        <v>1344</v>
      </c>
      <c r="G70" s="12" t="s">
        <v>92</v>
      </c>
      <c r="H70" s="4"/>
      <c r="I70" s="4"/>
    </row>
    <row r="71" spans="1:9" ht="60">
      <c r="A71" s="251"/>
      <c r="B71" s="247"/>
      <c r="C71" s="8" t="s">
        <v>350</v>
      </c>
      <c r="D71" s="20" t="s">
        <v>1415</v>
      </c>
      <c r="E71" s="9">
        <v>1</v>
      </c>
      <c r="F71" s="5" t="s">
        <v>1408</v>
      </c>
      <c r="G71" s="5" t="s">
        <v>1409</v>
      </c>
      <c r="H71" s="4"/>
      <c r="I71" s="4"/>
    </row>
    <row r="72" spans="1:9">
      <c r="A72" s="251"/>
      <c r="B72" s="247"/>
      <c r="C72" s="8" t="s">
        <v>351</v>
      </c>
      <c r="D72" s="8"/>
      <c r="E72" s="5"/>
      <c r="F72" s="5"/>
      <c r="G72" s="5"/>
      <c r="H72" s="4"/>
      <c r="I72" s="4"/>
    </row>
    <row r="73" spans="1:9" ht="60">
      <c r="A73" s="251"/>
      <c r="B73" s="247"/>
      <c r="C73" s="8" t="s">
        <v>254</v>
      </c>
      <c r="D73" s="8" t="s">
        <v>412</v>
      </c>
      <c r="E73" s="5">
        <v>0.5</v>
      </c>
      <c r="F73" s="6" t="s">
        <v>1397</v>
      </c>
      <c r="G73" s="25" t="s">
        <v>862</v>
      </c>
      <c r="H73" s="6" t="s">
        <v>1397</v>
      </c>
      <c r="I73" s="6" t="s">
        <v>1398</v>
      </c>
    </row>
    <row r="74" spans="1:9">
      <c r="A74" s="251"/>
      <c r="B74" s="247"/>
      <c r="C74" s="8" t="s">
        <v>12</v>
      </c>
      <c r="D74" s="8"/>
      <c r="E74" s="5">
        <f>SUM(E70:E73)</f>
        <v>2</v>
      </c>
      <c r="F74" s="5"/>
      <c r="G74" s="5"/>
      <c r="H74" s="4"/>
      <c r="I74" s="4"/>
    </row>
    <row r="75" spans="1:9" ht="76.5" customHeight="1">
      <c r="A75" s="251" t="s">
        <v>14</v>
      </c>
      <c r="B75" s="247" t="s">
        <v>255</v>
      </c>
      <c r="C75" s="247" t="s">
        <v>255</v>
      </c>
      <c r="D75" s="8" t="s">
        <v>390</v>
      </c>
      <c r="E75" s="5">
        <v>1</v>
      </c>
      <c r="F75" s="4" t="s">
        <v>1485</v>
      </c>
      <c r="G75" s="5" t="s">
        <v>363</v>
      </c>
      <c r="H75" s="4"/>
      <c r="I75" s="4"/>
    </row>
    <row r="76" spans="1:9" ht="75">
      <c r="A76" s="251"/>
      <c r="B76" s="247"/>
      <c r="C76" s="247"/>
      <c r="D76" s="33" t="s">
        <v>1468</v>
      </c>
      <c r="E76" s="9">
        <v>0.7</v>
      </c>
      <c r="F76" s="5" t="s">
        <v>1485</v>
      </c>
      <c r="G76" s="5" t="s">
        <v>1078</v>
      </c>
      <c r="H76" s="4"/>
      <c r="I76" s="4"/>
    </row>
    <row r="77" spans="1:9" ht="30">
      <c r="A77" s="251"/>
      <c r="B77" s="247"/>
      <c r="C77" s="247"/>
      <c r="D77" s="8" t="s">
        <v>397</v>
      </c>
      <c r="E77" s="5">
        <v>0.8</v>
      </c>
      <c r="F77" s="5" t="s">
        <v>1116</v>
      </c>
      <c r="G77" s="61" t="s">
        <v>1117</v>
      </c>
      <c r="H77" s="4"/>
      <c r="I77" s="4"/>
    </row>
    <row r="78" spans="1:9" ht="63">
      <c r="A78" s="251"/>
      <c r="B78" s="247"/>
      <c r="C78" s="247" t="s">
        <v>352</v>
      </c>
      <c r="D78" s="78" t="s">
        <v>1486</v>
      </c>
      <c r="E78" s="9">
        <v>0.5</v>
      </c>
      <c r="F78" s="5" t="s">
        <v>1344</v>
      </c>
      <c r="G78" s="12" t="s">
        <v>92</v>
      </c>
      <c r="H78" s="4"/>
      <c r="I78" s="4"/>
    </row>
    <row r="79" spans="1:9" ht="30">
      <c r="A79" s="251"/>
      <c r="B79" s="247"/>
      <c r="C79" s="247"/>
      <c r="D79" s="70" t="s">
        <v>1233</v>
      </c>
      <c r="E79" s="9">
        <v>2</v>
      </c>
      <c r="F79" s="5" t="s">
        <v>1418</v>
      </c>
      <c r="G79" s="12" t="s">
        <v>92</v>
      </c>
      <c r="H79" s="4"/>
      <c r="I79" s="4"/>
    </row>
    <row r="80" spans="1:9" ht="30">
      <c r="A80" s="251"/>
      <c r="B80" s="247"/>
      <c r="C80" s="247"/>
      <c r="D80" s="8" t="s">
        <v>399</v>
      </c>
      <c r="E80" s="5">
        <v>0.04</v>
      </c>
      <c r="F80" s="5" t="s">
        <v>1116</v>
      </c>
      <c r="G80" s="61" t="s">
        <v>1503</v>
      </c>
      <c r="H80" s="4"/>
      <c r="I80" s="4"/>
    </row>
    <row r="81" spans="1:9" ht="45">
      <c r="A81" s="251"/>
      <c r="B81" s="247"/>
      <c r="C81" s="80" t="s">
        <v>353</v>
      </c>
      <c r="D81" s="16" t="s">
        <v>1532</v>
      </c>
      <c r="E81" s="15">
        <v>57</v>
      </c>
      <c r="F81" s="5" t="s">
        <v>1529</v>
      </c>
      <c r="G81" s="172" t="s">
        <v>1521</v>
      </c>
      <c r="H81" s="6">
        <v>56822273.149999999</v>
      </c>
      <c r="I81" s="4"/>
    </row>
    <row r="82" spans="1:9">
      <c r="A82" s="251"/>
      <c r="B82" s="247"/>
      <c r="C82" s="80" t="s">
        <v>12</v>
      </c>
      <c r="D82" s="11"/>
      <c r="E82" s="13">
        <f>SUM(E75:E81)</f>
        <v>62.04</v>
      </c>
      <c r="F82" s="13"/>
      <c r="G82" s="13"/>
      <c r="H82" s="4"/>
      <c r="I82" s="4"/>
    </row>
    <row r="83" spans="1:9" ht="67.5" customHeight="1">
      <c r="A83" s="267">
        <v>11</v>
      </c>
      <c r="B83" s="266" t="s">
        <v>256</v>
      </c>
      <c r="C83" s="247" t="s">
        <v>256</v>
      </c>
      <c r="D83" s="8" t="s">
        <v>406</v>
      </c>
      <c r="E83" s="5">
        <v>3.5</v>
      </c>
      <c r="F83" s="5" t="s">
        <v>1426</v>
      </c>
      <c r="G83" s="5" t="s">
        <v>626</v>
      </c>
      <c r="H83" s="5" t="s">
        <v>1426</v>
      </c>
      <c r="I83" s="115" t="s">
        <v>1398</v>
      </c>
    </row>
    <row r="84" spans="1:9" ht="66" customHeight="1">
      <c r="A84" s="267"/>
      <c r="B84" s="266"/>
      <c r="C84" s="247"/>
      <c r="D84" s="8" t="s">
        <v>407</v>
      </c>
      <c r="E84" s="5">
        <v>3.5</v>
      </c>
      <c r="F84" s="5" t="s">
        <v>1426</v>
      </c>
      <c r="G84" s="5" t="s">
        <v>626</v>
      </c>
      <c r="H84" s="5" t="s">
        <v>1426</v>
      </c>
      <c r="I84" s="115" t="s">
        <v>1398</v>
      </c>
    </row>
    <row r="85" spans="1:9" ht="60">
      <c r="A85" s="267"/>
      <c r="B85" s="266"/>
      <c r="C85" s="247"/>
      <c r="D85" s="8" t="s">
        <v>1472</v>
      </c>
      <c r="E85" s="5">
        <v>1.5</v>
      </c>
      <c r="F85" s="5" t="s">
        <v>1426</v>
      </c>
      <c r="G85" s="5" t="s">
        <v>626</v>
      </c>
      <c r="H85" s="5" t="s">
        <v>1426</v>
      </c>
      <c r="I85" s="115" t="s">
        <v>1398</v>
      </c>
    </row>
    <row r="86" spans="1:9" ht="30">
      <c r="A86" s="267"/>
      <c r="B86" s="266"/>
      <c r="C86" s="247"/>
      <c r="D86" s="82" t="s">
        <v>1237</v>
      </c>
      <c r="E86" s="9">
        <v>2</v>
      </c>
      <c r="F86" s="5" t="s">
        <v>1418</v>
      </c>
      <c r="G86" s="12" t="s">
        <v>92</v>
      </c>
    </row>
    <row r="87" spans="1:9" ht="60">
      <c r="A87" s="267"/>
      <c r="B87" s="266"/>
      <c r="C87" s="247"/>
      <c r="D87" s="8" t="s">
        <v>408</v>
      </c>
      <c r="E87" s="5">
        <v>7</v>
      </c>
      <c r="F87" s="5" t="s">
        <v>1426</v>
      </c>
      <c r="G87" s="5" t="s">
        <v>626</v>
      </c>
      <c r="H87" s="5" t="s">
        <v>1426</v>
      </c>
      <c r="I87" s="115" t="s">
        <v>1398</v>
      </c>
    </row>
    <row r="88" spans="1:9" ht="75">
      <c r="A88" s="267"/>
      <c r="B88" s="266"/>
      <c r="C88" s="247" t="s">
        <v>354</v>
      </c>
      <c r="D88" s="8" t="s">
        <v>365</v>
      </c>
      <c r="E88" s="5">
        <v>2.5</v>
      </c>
      <c r="F88" s="4" t="s">
        <v>1485</v>
      </c>
      <c r="G88" s="44" t="s">
        <v>958</v>
      </c>
    </row>
    <row r="89" spans="1:9" ht="30">
      <c r="A89" s="267"/>
      <c r="B89" s="266"/>
      <c r="C89" s="247"/>
      <c r="D89" s="75" t="s">
        <v>1342</v>
      </c>
      <c r="E89" s="9">
        <v>0.5</v>
      </c>
      <c r="F89" s="44" t="s">
        <v>1344</v>
      </c>
      <c r="G89" s="31" t="s">
        <v>92</v>
      </c>
    </row>
    <row r="90" spans="1:9" ht="30">
      <c r="A90" s="267"/>
      <c r="B90" s="266"/>
      <c r="C90" s="247"/>
      <c r="D90" s="70" t="s">
        <v>1231</v>
      </c>
      <c r="E90" s="9">
        <v>2</v>
      </c>
      <c r="F90" s="44" t="s">
        <v>1418</v>
      </c>
      <c r="G90" s="31" t="s">
        <v>92</v>
      </c>
    </row>
    <row r="91" spans="1:9" ht="60">
      <c r="A91" s="267"/>
      <c r="B91" s="266"/>
      <c r="C91" s="247"/>
      <c r="D91" s="8" t="s">
        <v>409</v>
      </c>
      <c r="E91" s="5">
        <v>8</v>
      </c>
      <c r="F91" s="5" t="s">
        <v>1426</v>
      </c>
      <c r="G91" s="5" t="s">
        <v>626</v>
      </c>
      <c r="H91" s="5" t="s">
        <v>1426</v>
      </c>
      <c r="I91" s="115" t="s">
        <v>1398</v>
      </c>
    </row>
    <row r="92" spans="1:9" ht="47.25">
      <c r="A92" s="267"/>
      <c r="B92" s="266"/>
      <c r="C92" s="247"/>
      <c r="D92" s="5" t="s">
        <v>1576</v>
      </c>
      <c r="E92" s="9">
        <v>2</v>
      </c>
      <c r="F92" s="78" t="s">
        <v>1571</v>
      </c>
      <c r="G92" s="78" t="s">
        <v>1556</v>
      </c>
    </row>
    <row r="93" spans="1:9" ht="31.5">
      <c r="A93" s="267"/>
      <c r="B93" s="266"/>
      <c r="C93" s="8" t="s">
        <v>355</v>
      </c>
      <c r="D93" s="70" t="s">
        <v>1239</v>
      </c>
      <c r="E93" s="9">
        <v>2</v>
      </c>
      <c r="F93" s="5" t="s">
        <v>1418</v>
      </c>
      <c r="G93" s="12" t="s">
        <v>92</v>
      </c>
    </row>
    <row r="94" spans="1:9">
      <c r="A94" s="267"/>
      <c r="B94" s="266"/>
      <c r="C94" s="8" t="s">
        <v>12</v>
      </c>
      <c r="D94" s="8"/>
      <c r="E94" s="5">
        <f>SUM(E83:E93)</f>
        <v>34.5</v>
      </c>
      <c r="F94" s="5"/>
      <c r="G94" s="5"/>
    </row>
    <row r="95" spans="1:9" ht="30">
      <c r="A95" s="267">
        <v>12</v>
      </c>
      <c r="B95" s="266" t="s">
        <v>259</v>
      </c>
      <c r="C95" s="8" t="s">
        <v>358</v>
      </c>
      <c r="D95" s="82" t="s">
        <v>1222</v>
      </c>
      <c r="E95" s="9">
        <v>2</v>
      </c>
      <c r="F95" s="5" t="s">
        <v>1418</v>
      </c>
      <c r="G95" s="12" t="s">
        <v>92</v>
      </c>
    </row>
    <row r="96" spans="1:9" ht="45">
      <c r="A96" s="267"/>
      <c r="B96" s="266"/>
      <c r="C96" s="8" t="s">
        <v>356</v>
      </c>
      <c r="D96" s="83" t="s">
        <v>1235</v>
      </c>
      <c r="E96" s="9">
        <v>2</v>
      </c>
      <c r="F96" s="5" t="s">
        <v>1418</v>
      </c>
      <c r="G96" s="12" t="s">
        <v>92</v>
      </c>
    </row>
    <row r="97" spans="1:9" ht="75">
      <c r="A97" s="267"/>
      <c r="B97" s="266"/>
      <c r="C97" s="8" t="s">
        <v>259</v>
      </c>
      <c r="D97" s="8" t="s">
        <v>1488</v>
      </c>
      <c r="E97" s="5">
        <v>0.8</v>
      </c>
      <c r="F97" s="4" t="s">
        <v>1485</v>
      </c>
      <c r="G97" s="44" t="s">
        <v>958</v>
      </c>
    </row>
    <row r="98" spans="1:9" ht="30">
      <c r="A98" s="267"/>
      <c r="B98" s="266"/>
      <c r="C98" s="8" t="s">
        <v>357</v>
      </c>
      <c r="D98" s="83" t="s">
        <v>1223</v>
      </c>
      <c r="E98" s="9">
        <v>2</v>
      </c>
      <c r="F98" s="5" t="s">
        <v>1418</v>
      </c>
      <c r="G98" s="12" t="s">
        <v>92</v>
      </c>
    </row>
    <row r="99" spans="1:9">
      <c r="A99" s="267"/>
      <c r="B99" s="266"/>
      <c r="C99" s="8" t="s">
        <v>12</v>
      </c>
      <c r="D99" s="8"/>
      <c r="E99" s="5">
        <f>SUM(E95:E98)</f>
        <v>6.8</v>
      </c>
      <c r="F99" s="5"/>
      <c r="G99" s="5"/>
    </row>
    <row r="100" spans="1:9" ht="75">
      <c r="A100" s="267">
        <v>13</v>
      </c>
      <c r="B100" s="266" t="s">
        <v>257</v>
      </c>
      <c r="C100" s="8" t="s">
        <v>359</v>
      </c>
      <c r="D100" s="8" t="s">
        <v>384</v>
      </c>
      <c r="E100" s="5">
        <v>1.8</v>
      </c>
      <c r="F100" s="4" t="s">
        <v>1485</v>
      </c>
      <c r="G100" s="5" t="s">
        <v>363</v>
      </c>
    </row>
    <row r="101" spans="1:9" ht="75">
      <c r="A101" s="267"/>
      <c r="B101" s="266"/>
      <c r="C101" s="247" t="s">
        <v>360</v>
      </c>
      <c r="D101" s="8" t="s">
        <v>371</v>
      </c>
      <c r="E101" s="5">
        <v>3</v>
      </c>
      <c r="F101" s="27" t="s">
        <v>1485</v>
      </c>
      <c r="G101" s="44" t="s">
        <v>958</v>
      </c>
    </row>
    <row r="102" spans="1:9" ht="75">
      <c r="A102" s="267"/>
      <c r="B102" s="266"/>
      <c r="C102" s="247"/>
      <c r="D102" s="8" t="s">
        <v>1487</v>
      </c>
      <c r="E102" s="5">
        <v>0.8</v>
      </c>
      <c r="F102" s="4" t="s">
        <v>1485</v>
      </c>
      <c r="G102" s="44" t="s">
        <v>958</v>
      </c>
    </row>
    <row r="103" spans="1:9" ht="30">
      <c r="A103" s="267"/>
      <c r="B103" s="266"/>
      <c r="C103" s="247"/>
      <c r="D103" s="8" t="s">
        <v>396</v>
      </c>
      <c r="E103" s="5">
        <v>0.5</v>
      </c>
      <c r="F103" s="5" t="s">
        <v>1116</v>
      </c>
      <c r="G103" s="61" t="s">
        <v>1117</v>
      </c>
    </row>
    <row r="104" spans="1:9" ht="30">
      <c r="A104" s="267"/>
      <c r="B104" s="266"/>
      <c r="C104" s="247"/>
      <c r="D104" s="8" t="s">
        <v>1224</v>
      </c>
      <c r="E104" s="5">
        <v>2</v>
      </c>
      <c r="F104" s="5" t="s">
        <v>1418</v>
      </c>
      <c r="G104" s="12" t="s">
        <v>92</v>
      </c>
    </row>
    <row r="105" spans="1:9" ht="75">
      <c r="A105" s="267"/>
      <c r="B105" s="266"/>
      <c r="C105" s="247"/>
      <c r="D105" s="8" t="s">
        <v>380</v>
      </c>
      <c r="E105" s="5">
        <v>1.8</v>
      </c>
      <c r="F105" s="4" t="s">
        <v>1485</v>
      </c>
      <c r="G105" s="5" t="s">
        <v>363</v>
      </c>
    </row>
    <row r="106" spans="1:9" ht="30">
      <c r="A106" s="267"/>
      <c r="B106" s="266"/>
      <c r="C106" s="8" t="s">
        <v>257</v>
      </c>
      <c r="D106" s="8" t="s">
        <v>402</v>
      </c>
      <c r="E106" s="5">
        <v>0.04</v>
      </c>
      <c r="F106" s="5" t="s">
        <v>1116</v>
      </c>
      <c r="G106" s="61" t="s">
        <v>1503</v>
      </c>
    </row>
    <row r="107" spans="1:9">
      <c r="A107" s="267"/>
      <c r="B107" s="266"/>
      <c r="C107" s="8" t="s">
        <v>12</v>
      </c>
      <c r="D107" s="8"/>
      <c r="E107" s="5">
        <f>SUM(E100:E106)</f>
        <v>9.94</v>
      </c>
      <c r="F107" s="5"/>
      <c r="G107" s="5"/>
    </row>
    <row r="108" spans="1:9" ht="75">
      <c r="A108" s="267">
        <v>14</v>
      </c>
      <c r="B108" s="266" t="s">
        <v>258</v>
      </c>
      <c r="C108" s="247" t="s">
        <v>258</v>
      </c>
      <c r="D108" s="8" t="s">
        <v>372</v>
      </c>
      <c r="E108" s="5">
        <v>3</v>
      </c>
      <c r="F108" s="4" t="s">
        <v>1485</v>
      </c>
      <c r="G108" s="44" t="s">
        <v>958</v>
      </c>
    </row>
    <row r="109" spans="1:9" ht="30">
      <c r="A109" s="267"/>
      <c r="B109" s="266"/>
      <c r="C109" s="247"/>
      <c r="D109" s="8" t="s">
        <v>398</v>
      </c>
      <c r="E109" s="5">
        <v>0.04</v>
      </c>
      <c r="F109" s="5" t="s">
        <v>1116</v>
      </c>
      <c r="G109" s="61" t="s">
        <v>1503</v>
      </c>
    </row>
    <row r="110" spans="1:9" ht="30">
      <c r="A110" s="267"/>
      <c r="B110" s="266"/>
      <c r="C110" s="247"/>
      <c r="D110" s="8" t="s">
        <v>400</v>
      </c>
      <c r="E110" s="5">
        <v>0.04</v>
      </c>
      <c r="F110" s="5" t="s">
        <v>1116</v>
      </c>
      <c r="G110" s="61" t="s">
        <v>1503</v>
      </c>
    </row>
    <row r="111" spans="1:9" ht="30">
      <c r="A111" s="267"/>
      <c r="B111" s="266"/>
      <c r="C111" s="247"/>
      <c r="D111" s="8" t="s">
        <v>403</v>
      </c>
      <c r="E111" s="5">
        <v>0.04</v>
      </c>
      <c r="F111" s="5" t="s">
        <v>1116</v>
      </c>
      <c r="G111" s="61" t="s">
        <v>1504</v>
      </c>
    </row>
    <row r="112" spans="1:9" ht="60">
      <c r="A112" s="267"/>
      <c r="B112" s="266"/>
      <c r="C112" s="247"/>
      <c r="D112" s="8" t="s">
        <v>405</v>
      </c>
      <c r="E112" s="5">
        <v>15</v>
      </c>
      <c r="F112" s="5" t="s">
        <v>1426</v>
      </c>
      <c r="G112" s="5" t="s">
        <v>626</v>
      </c>
      <c r="H112" s="5" t="s">
        <v>1426</v>
      </c>
      <c r="I112" s="115" t="s">
        <v>1398</v>
      </c>
    </row>
    <row r="113" spans="1:9">
      <c r="A113" s="267"/>
      <c r="B113" s="266"/>
      <c r="C113" s="247"/>
      <c r="D113" s="5" t="s">
        <v>417</v>
      </c>
      <c r="E113" s="1">
        <v>4</v>
      </c>
      <c r="F113" s="1"/>
      <c r="G113" s="5"/>
    </row>
    <row r="114" spans="1:9" ht="30">
      <c r="A114" s="267"/>
      <c r="B114" s="266"/>
      <c r="C114" s="247"/>
      <c r="D114" s="82" t="s">
        <v>1236</v>
      </c>
      <c r="E114" s="9">
        <v>2</v>
      </c>
      <c r="F114" s="5" t="s">
        <v>1418</v>
      </c>
      <c r="G114" s="12" t="s">
        <v>92</v>
      </c>
    </row>
    <row r="115" spans="1:9" ht="75">
      <c r="A115" s="267"/>
      <c r="B115" s="266"/>
      <c r="C115" s="247"/>
      <c r="D115" s="8" t="s">
        <v>391</v>
      </c>
      <c r="E115" s="5">
        <v>3.5</v>
      </c>
      <c r="F115" s="4" t="s">
        <v>1485</v>
      </c>
      <c r="G115" s="5" t="s">
        <v>363</v>
      </c>
    </row>
    <row r="116" spans="1:9" ht="30">
      <c r="A116" s="267"/>
      <c r="B116" s="266"/>
      <c r="C116" s="247" t="s">
        <v>361</v>
      </c>
      <c r="D116" s="75" t="s">
        <v>1343</v>
      </c>
      <c r="E116" s="9">
        <v>0.5</v>
      </c>
      <c r="F116" s="5" t="s">
        <v>1344</v>
      </c>
      <c r="G116" s="12" t="s">
        <v>92</v>
      </c>
    </row>
    <row r="117" spans="1:9" ht="30">
      <c r="A117" s="267"/>
      <c r="B117" s="266"/>
      <c r="C117" s="247"/>
      <c r="D117" s="82" t="s">
        <v>1225</v>
      </c>
      <c r="E117" s="9">
        <v>2</v>
      </c>
      <c r="F117" s="5" t="s">
        <v>1418</v>
      </c>
      <c r="G117" s="12" t="s">
        <v>92</v>
      </c>
    </row>
    <row r="118" spans="1:9" ht="75">
      <c r="A118" s="267"/>
      <c r="B118" s="266"/>
      <c r="C118" s="247"/>
      <c r="D118" s="8" t="s">
        <v>370</v>
      </c>
      <c r="E118" s="5">
        <v>2</v>
      </c>
      <c r="F118" s="4" t="s">
        <v>1485</v>
      </c>
      <c r="G118" s="44" t="s">
        <v>958</v>
      </c>
    </row>
    <row r="119" spans="1:9" ht="45">
      <c r="A119" s="267"/>
      <c r="B119" s="266"/>
      <c r="C119" s="247"/>
      <c r="D119" s="5" t="s">
        <v>1331</v>
      </c>
      <c r="E119" s="9">
        <v>4</v>
      </c>
      <c r="F119" s="5" t="s">
        <v>1205</v>
      </c>
      <c r="G119" s="5" t="s">
        <v>1507</v>
      </c>
    </row>
    <row r="120" spans="1:9" ht="45">
      <c r="A120" s="267"/>
      <c r="B120" s="266"/>
      <c r="C120" s="247"/>
      <c r="D120" s="5" t="s">
        <v>1335</v>
      </c>
      <c r="E120" s="9">
        <v>8</v>
      </c>
      <c r="F120" s="5" t="s">
        <v>1205</v>
      </c>
      <c r="G120" s="5" t="s">
        <v>1507</v>
      </c>
    </row>
    <row r="121" spans="1:9">
      <c r="A121" s="267"/>
      <c r="B121" s="266"/>
      <c r="C121" s="8" t="s">
        <v>12</v>
      </c>
      <c r="D121" s="8"/>
      <c r="E121" s="5">
        <f>SUM(E108:E120)</f>
        <v>44.120000000000005</v>
      </c>
      <c r="F121" s="5"/>
      <c r="G121" s="5"/>
    </row>
    <row r="122" spans="1:9" ht="45">
      <c r="A122" s="1"/>
      <c r="B122" s="1"/>
      <c r="C122" s="1"/>
      <c r="D122" s="5" t="s">
        <v>1327</v>
      </c>
      <c r="E122" s="9">
        <v>2</v>
      </c>
      <c r="F122" s="5" t="s">
        <v>1205</v>
      </c>
      <c r="G122" s="5" t="s">
        <v>1507</v>
      </c>
    </row>
    <row r="123" spans="1:9" ht="84.75" customHeight="1">
      <c r="A123" s="1"/>
      <c r="B123" s="1"/>
      <c r="C123" s="266" t="s">
        <v>660</v>
      </c>
      <c r="D123" s="5" t="s">
        <v>656</v>
      </c>
      <c r="E123" s="9">
        <v>0.8</v>
      </c>
      <c r="F123" s="5" t="s">
        <v>1426</v>
      </c>
      <c r="G123" s="5" t="s">
        <v>657</v>
      </c>
      <c r="H123" s="5" t="s">
        <v>1426</v>
      </c>
      <c r="I123" s="115" t="s">
        <v>1398</v>
      </c>
    </row>
    <row r="124" spans="1:9" ht="60">
      <c r="A124" s="1"/>
      <c r="B124" s="1"/>
      <c r="C124" s="266"/>
      <c r="D124" s="5" t="s">
        <v>661</v>
      </c>
      <c r="E124" s="1">
        <v>0.75</v>
      </c>
      <c r="F124" s="5" t="s">
        <v>1426</v>
      </c>
      <c r="G124" s="5" t="s">
        <v>657</v>
      </c>
      <c r="H124" s="5" t="s">
        <v>1426</v>
      </c>
      <c r="I124" s="115" t="s">
        <v>1398</v>
      </c>
    </row>
    <row r="125" spans="1:9" ht="60">
      <c r="A125" s="1"/>
      <c r="B125" s="1"/>
      <c r="C125" s="266"/>
      <c r="D125" s="5" t="s">
        <v>658</v>
      </c>
      <c r="E125" s="1">
        <v>0.75</v>
      </c>
      <c r="F125" s="5" t="s">
        <v>1426</v>
      </c>
      <c r="G125" s="5" t="s">
        <v>657</v>
      </c>
      <c r="H125" s="5" t="s">
        <v>1426</v>
      </c>
      <c r="I125" s="115" t="s">
        <v>1398</v>
      </c>
    </row>
    <row r="126" spans="1:9" ht="60">
      <c r="A126" s="1"/>
      <c r="B126" s="1"/>
      <c r="C126" s="266"/>
      <c r="D126" s="5" t="s">
        <v>659</v>
      </c>
      <c r="E126" s="1">
        <v>0.1</v>
      </c>
      <c r="F126" s="5" t="s">
        <v>1426</v>
      </c>
      <c r="G126" s="5" t="s">
        <v>657</v>
      </c>
      <c r="H126" s="5" t="s">
        <v>1426</v>
      </c>
      <c r="I126" s="115" t="s">
        <v>1398</v>
      </c>
    </row>
    <row r="127" spans="1:9" ht="31.5">
      <c r="A127" s="1"/>
      <c r="B127" s="1"/>
      <c r="C127" s="168"/>
      <c r="D127" s="5" t="s">
        <v>1540</v>
      </c>
      <c r="E127" s="9">
        <v>10</v>
      </c>
      <c r="F127" s="174" t="s">
        <v>1533</v>
      </c>
      <c r="G127" s="175" t="s">
        <v>1521</v>
      </c>
      <c r="H127" s="122"/>
      <c r="I127" s="114"/>
    </row>
    <row r="128" spans="1:9" ht="31.5">
      <c r="A128" s="1"/>
      <c r="B128" s="1"/>
      <c r="C128" s="168"/>
      <c r="D128" s="5" t="s">
        <v>1544</v>
      </c>
      <c r="E128" s="9">
        <v>10</v>
      </c>
      <c r="F128" s="174" t="s">
        <v>1533</v>
      </c>
      <c r="G128" s="175" t="s">
        <v>1521</v>
      </c>
      <c r="H128" s="122"/>
      <c r="I128" s="114"/>
    </row>
    <row r="129" spans="1:9" ht="47.25">
      <c r="A129" s="1"/>
      <c r="B129" s="1"/>
      <c r="C129" s="170"/>
      <c r="D129" s="5" t="s">
        <v>1562</v>
      </c>
      <c r="E129" s="9">
        <v>0.86</v>
      </c>
      <c r="F129" s="78" t="s">
        <v>1558</v>
      </c>
      <c r="G129" s="78" t="s">
        <v>1556</v>
      </c>
      <c r="H129" s="122"/>
      <c r="I129" s="114"/>
    </row>
    <row r="130" spans="1:9" ht="47.25">
      <c r="A130" s="1"/>
      <c r="B130" s="1"/>
      <c r="C130" s="170"/>
      <c r="D130" s="5" t="s">
        <v>1563</v>
      </c>
      <c r="E130" s="9">
        <v>1.08</v>
      </c>
      <c r="F130" s="174" t="s">
        <v>1564</v>
      </c>
      <c r="G130" s="78" t="s">
        <v>1556</v>
      </c>
      <c r="H130" s="122"/>
      <c r="I130" s="114"/>
    </row>
    <row r="131" spans="1:9" ht="47.25">
      <c r="A131" s="1"/>
      <c r="B131" s="1"/>
      <c r="C131" s="170"/>
      <c r="D131" s="189" t="s">
        <v>1586</v>
      </c>
      <c r="E131" s="9">
        <v>0.12</v>
      </c>
      <c r="F131" s="158" t="s">
        <v>1581</v>
      </c>
      <c r="G131" s="78" t="s">
        <v>1556</v>
      </c>
      <c r="H131" s="122"/>
      <c r="I131" s="114"/>
    </row>
    <row r="132" spans="1:9" ht="47.25">
      <c r="A132" s="1"/>
      <c r="B132" s="1"/>
      <c r="C132" s="170"/>
      <c r="D132" s="189" t="s">
        <v>1588</v>
      </c>
      <c r="E132" s="173">
        <v>0.13</v>
      </c>
      <c r="F132" s="158" t="s">
        <v>1581</v>
      </c>
      <c r="G132" s="78" t="s">
        <v>1556</v>
      </c>
      <c r="H132" s="122"/>
      <c r="I132" s="114"/>
    </row>
    <row r="133" spans="1:9" ht="47.25">
      <c r="A133" s="1"/>
      <c r="B133" s="1"/>
      <c r="C133" s="170"/>
      <c r="D133" s="197" t="s">
        <v>1593</v>
      </c>
      <c r="E133" s="9">
        <v>4</v>
      </c>
      <c r="F133" s="193" t="s">
        <v>1594</v>
      </c>
      <c r="G133" s="78" t="s">
        <v>1556</v>
      </c>
      <c r="H133" s="122"/>
      <c r="I133" s="114"/>
    </row>
    <row r="134" spans="1:9" ht="45">
      <c r="A134" s="1"/>
      <c r="B134" s="1"/>
      <c r="C134" s="170"/>
      <c r="D134" s="20" t="s">
        <v>1635</v>
      </c>
      <c r="E134" s="9">
        <v>5.07</v>
      </c>
      <c r="F134" s="196" t="s">
        <v>1630</v>
      </c>
      <c r="G134" s="42" t="s">
        <v>1556</v>
      </c>
      <c r="H134" s="122"/>
      <c r="I134" s="114"/>
    </row>
    <row r="135" spans="1:9" ht="47.25">
      <c r="A135" s="1"/>
      <c r="B135" s="1"/>
      <c r="C135" s="170"/>
      <c r="D135" s="20" t="s">
        <v>1644</v>
      </c>
      <c r="E135" s="9">
        <v>15</v>
      </c>
      <c r="F135" s="196" t="s">
        <v>1630</v>
      </c>
      <c r="G135" s="42" t="s">
        <v>1556</v>
      </c>
      <c r="H135" s="122"/>
      <c r="I135" s="114"/>
    </row>
    <row r="136" spans="1:9" ht="47.25">
      <c r="A136" s="1"/>
      <c r="B136" s="1"/>
      <c r="C136" s="170"/>
      <c r="D136" s="20" t="s">
        <v>1647</v>
      </c>
      <c r="E136" s="9">
        <v>10</v>
      </c>
      <c r="F136" s="196" t="s">
        <v>1630</v>
      </c>
      <c r="G136" s="42" t="s">
        <v>1556</v>
      </c>
      <c r="H136" s="122"/>
      <c r="I136" s="114"/>
    </row>
    <row r="137" spans="1:9" ht="45">
      <c r="A137" s="1"/>
      <c r="B137" s="1"/>
      <c r="C137" s="170"/>
      <c r="D137" s="124" t="s">
        <v>1648</v>
      </c>
      <c r="E137" s="9">
        <v>5</v>
      </c>
      <c r="F137" s="196" t="s">
        <v>1630</v>
      </c>
      <c r="G137" s="42" t="s">
        <v>1556</v>
      </c>
      <c r="H137" s="122"/>
      <c r="I137" s="114"/>
    </row>
    <row r="138" spans="1:9" ht="45">
      <c r="A138" s="1"/>
      <c r="B138" s="1"/>
      <c r="C138" s="186"/>
      <c r="D138" s="196" t="s">
        <v>1661</v>
      </c>
      <c r="E138" s="9">
        <v>3</v>
      </c>
      <c r="F138" s="29" t="s">
        <v>1654</v>
      </c>
      <c r="G138" s="42" t="s">
        <v>1556</v>
      </c>
      <c r="H138" s="122"/>
      <c r="I138" s="114"/>
    </row>
    <row r="139" spans="1:9" ht="45">
      <c r="A139" s="1"/>
      <c r="B139" s="1"/>
      <c r="C139" s="186"/>
      <c r="D139" s="196" t="s">
        <v>1673</v>
      </c>
      <c r="E139" s="9">
        <v>4</v>
      </c>
      <c r="F139" s="29" t="s">
        <v>1666</v>
      </c>
      <c r="G139" s="42" t="s">
        <v>1556</v>
      </c>
      <c r="H139" s="122"/>
      <c r="I139" s="114"/>
    </row>
    <row r="140" spans="1:9" ht="45">
      <c r="A140" s="1"/>
      <c r="B140" s="1"/>
      <c r="C140" s="186"/>
      <c r="D140" s="196" t="s">
        <v>1865</v>
      </c>
      <c r="E140" s="9">
        <v>3</v>
      </c>
      <c r="F140" s="5" t="s">
        <v>1738</v>
      </c>
      <c r="G140" s="42" t="s">
        <v>1556</v>
      </c>
      <c r="H140" s="122"/>
      <c r="I140" s="114"/>
    </row>
    <row r="141" spans="1:9" ht="47.25">
      <c r="A141" s="1"/>
      <c r="B141" s="1"/>
      <c r="C141" s="186"/>
      <c r="D141" s="20" t="s">
        <v>1859</v>
      </c>
      <c r="E141" s="9">
        <v>1.5</v>
      </c>
      <c r="F141" s="20" t="s">
        <v>1855</v>
      </c>
      <c r="G141" s="42" t="s">
        <v>1556</v>
      </c>
      <c r="H141" s="122"/>
      <c r="I141" s="114"/>
    </row>
    <row r="142" spans="1:9" ht="45">
      <c r="A142" s="1"/>
      <c r="B142" s="1"/>
      <c r="C142" s="186"/>
      <c r="D142" s="202" t="s">
        <v>1710</v>
      </c>
      <c r="E142" s="9">
        <v>2.14</v>
      </c>
      <c r="F142" s="5" t="s">
        <v>1703</v>
      </c>
      <c r="G142" s="42" t="s">
        <v>1556</v>
      </c>
      <c r="H142" s="122"/>
      <c r="I142" s="114"/>
    </row>
    <row r="143" spans="1:9" ht="45">
      <c r="A143" s="1"/>
      <c r="B143" s="1"/>
      <c r="C143" s="186"/>
      <c r="D143" s="202" t="s">
        <v>1711</v>
      </c>
      <c r="E143" s="9">
        <v>1.41</v>
      </c>
      <c r="F143" s="5" t="s">
        <v>1703</v>
      </c>
      <c r="G143" s="42" t="s">
        <v>1556</v>
      </c>
      <c r="H143" s="122"/>
      <c r="I143" s="114"/>
    </row>
    <row r="144" spans="1:9" ht="45">
      <c r="A144" s="1"/>
      <c r="B144" s="1"/>
      <c r="C144" s="186"/>
      <c r="D144" s="202" t="s">
        <v>1716</v>
      </c>
      <c r="E144" s="9">
        <v>0.72</v>
      </c>
      <c r="F144" s="5" t="s">
        <v>1703</v>
      </c>
      <c r="G144" s="42" t="s">
        <v>1556</v>
      </c>
      <c r="H144" s="122"/>
      <c r="I144" s="114"/>
    </row>
    <row r="145" spans="1:9" ht="45">
      <c r="A145" s="1"/>
      <c r="B145" s="1"/>
      <c r="C145" s="186"/>
      <c r="D145" s="202" t="s">
        <v>1719</v>
      </c>
      <c r="E145" s="9">
        <v>1.56</v>
      </c>
      <c r="F145" s="5" t="s">
        <v>1703</v>
      </c>
      <c r="G145" s="42" t="s">
        <v>1556</v>
      </c>
      <c r="H145" s="122"/>
      <c r="I145" s="114"/>
    </row>
    <row r="146" spans="1:9" ht="45">
      <c r="A146" s="1"/>
      <c r="B146" s="1"/>
      <c r="C146" s="186"/>
      <c r="D146" s="202" t="s">
        <v>1733</v>
      </c>
      <c r="E146" s="9">
        <v>7.16</v>
      </c>
      <c r="F146" s="5" t="s">
        <v>1703</v>
      </c>
      <c r="G146" s="42" t="s">
        <v>1556</v>
      </c>
      <c r="H146" s="122"/>
      <c r="I146" s="114"/>
    </row>
    <row r="147" spans="1:9" ht="45">
      <c r="A147" s="1"/>
      <c r="B147" s="1"/>
      <c r="C147" s="186"/>
      <c r="D147" s="202" t="s">
        <v>1873</v>
      </c>
      <c r="E147" s="9">
        <v>14.67</v>
      </c>
      <c r="F147" s="5" t="s">
        <v>1703</v>
      </c>
      <c r="G147" s="42" t="s">
        <v>1556</v>
      </c>
      <c r="H147" s="122"/>
      <c r="I147" s="114"/>
    </row>
    <row r="148" spans="1:9" ht="45">
      <c r="A148" s="1"/>
      <c r="B148" s="1"/>
      <c r="C148" s="186"/>
      <c r="D148" s="202" t="s">
        <v>1746</v>
      </c>
      <c r="E148" s="9">
        <v>3</v>
      </c>
      <c r="F148" s="5" t="s">
        <v>1703</v>
      </c>
      <c r="G148" s="42" t="s">
        <v>1556</v>
      </c>
      <c r="H148" s="122"/>
      <c r="I148" s="114"/>
    </row>
    <row r="149" spans="1:9" ht="45">
      <c r="A149" s="1"/>
      <c r="B149" s="1"/>
      <c r="C149" s="186"/>
      <c r="D149" s="202" t="s">
        <v>1750</v>
      </c>
      <c r="E149" s="9">
        <v>1.5</v>
      </c>
      <c r="F149" s="5" t="s">
        <v>1703</v>
      </c>
      <c r="G149" s="42" t="s">
        <v>1556</v>
      </c>
      <c r="H149" s="122"/>
      <c r="I149" s="114"/>
    </row>
    <row r="150" spans="1:9" ht="45">
      <c r="A150" s="1"/>
      <c r="B150" s="1"/>
      <c r="C150" s="186"/>
      <c r="D150" s="202" t="s">
        <v>1753</v>
      </c>
      <c r="E150" s="9">
        <v>5</v>
      </c>
      <c r="F150" s="5" t="s">
        <v>1703</v>
      </c>
      <c r="G150" s="42" t="s">
        <v>1556</v>
      </c>
      <c r="H150" s="122"/>
      <c r="I150" s="114"/>
    </row>
    <row r="151" spans="1:9" ht="45">
      <c r="A151" s="1"/>
      <c r="B151" s="1"/>
      <c r="C151" s="194"/>
      <c r="D151" s="202" t="s">
        <v>1768</v>
      </c>
      <c r="E151" s="9">
        <v>6</v>
      </c>
      <c r="F151" s="5" t="s">
        <v>1703</v>
      </c>
      <c r="G151" s="42" t="s">
        <v>1556</v>
      </c>
      <c r="H151" s="122"/>
      <c r="I151" s="114"/>
    </row>
    <row r="152" spans="1:9" ht="45">
      <c r="A152" s="1"/>
      <c r="B152" s="1"/>
      <c r="C152" s="194"/>
      <c r="D152" s="202" t="s">
        <v>1776</v>
      </c>
      <c r="E152" s="9">
        <v>2</v>
      </c>
      <c r="F152" s="5" t="s">
        <v>1703</v>
      </c>
      <c r="G152" s="42" t="s">
        <v>1556</v>
      </c>
      <c r="H152" s="122"/>
      <c r="I152" s="114"/>
    </row>
    <row r="153" spans="1:9" ht="45">
      <c r="A153" s="1"/>
      <c r="B153" s="1"/>
      <c r="C153" s="194"/>
      <c r="D153" s="202" t="s">
        <v>1788</v>
      </c>
      <c r="E153" s="9">
        <v>4</v>
      </c>
      <c r="F153" s="5" t="s">
        <v>1703</v>
      </c>
      <c r="G153" s="42" t="s">
        <v>1556</v>
      </c>
      <c r="H153" s="122"/>
      <c r="I153" s="114"/>
    </row>
    <row r="154" spans="1:9" ht="45">
      <c r="A154" s="1"/>
      <c r="B154" s="1"/>
      <c r="C154" s="194"/>
      <c r="D154" s="202" t="s">
        <v>1792</v>
      </c>
      <c r="E154" s="9">
        <v>2</v>
      </c>
      <c r="F154" s="5" t="s">
        <v>1703</v>
      </c>
      <c r="G154" s="42" t="s">
        <v>1556</v>
      </c>
      <c r="H154" s="122"/>
      <c r="I154" s="114"/>
    </row>
    <row r="155" spans="1:9" ht="45">
      <c r="A155" s="1"/>
      <c r="B155" s="1"/>
      <c r="C155" s="194"/>
      <c r="D155" s="202" t="s">
        <v>1796</v>
      </c>
      <c r="E155" s="9">
        <v>2</v>
      </c>
      <c r="F155" s="5" t="s">
        <v>1703</v>
      </c>
      <c r="G155" s="42" t="s">
        <v>1556</v>
      </c>
      <c r="H155" s="122"/>
      <c r="I155" s="114"/>
    </row>
    <row r="156" spans="1:9" ht="45">
      <c r="A156" s="1"/>
      <c r="B156" s="1"/>
      <c r="C156" s="194"/>
      <c r="D156" s="202" t="s">
        <v>1808</v>
      </c>
      <c r="E156" s="9">
        <v>4</v>
      </c>
      <c r="F156" s="5" t="s">
        <v>1703</v>
      </c>
      <c r="G156" s="42" t="s">
        <v>1556</v>
      </c>
      <c r="H156" s="122"/>
      <c r="I156" s="114"/>
    </row>
    <row r="157" spans="1:9" ht="45">
      <c r="A157" s="1"/>
      <c r="B157" s="1"/>
      <c r="C157" s="194"/>
      <c r="D157" s="202" t="s">
        <v>1813</v>
      </c>
      <c r="E157" s="9">
        <v>8</v>
      </c>
      <c r="F157" s="5" t="s">
        <v>1703</v>
      </c>
      <c r="G157" s="42" t="s">
        <v>1556</v>
      </c>
      <c r="H157" s="122"/>
      <c r="I157" s="114"/>
    </row>
    <row r="158" spans="1:9" ht="45">
      <c r="A158" s="1"/>
      <c r="B158" s="1"/>
      <c r="C158" s="194"/>
      <c r="D158" s="202" t="s">
        <v>1827</v>
      </c>
      <c r="E158" s="9">
        <v>1.5</v>
      </c>
      <c r="F158" s="5" t="s">
        <v>1703</v>
      </c>
      <c r="G158" s="42" t="s">
        <v>1556</v>
      </c>
      <c r="H158" s="122"/>
      <c r="I158" s="114"/>
    </row>
    <row r="159" spans="1:9" ht="45">
      <c r="A159" s="1"/>
      <c r="B159" s="1"/>
      <c r="C159" s="194"/>
      <c r="D159" s="202" t="s">
        <v>1833</v>
      </c>
      <c r="E159" s="9">
        <v>3</v>
      </c>
      <c r="F159" s="5" t="s">
        <v>1703</v>
      </c>
      <c r="G159" s="42" t="s">
        <v>1556</v>
      </c>
      <c r="H159" s="122"/>
      <c r="I159" s="114"/>
    </row>
    <row r="160" spans="1:9" ht="45">
      <c r="A160" s="1"/>
      <c r="B160" s="1"/>
      <c r="C160" s="194"/>
      <c r="D160" s="202" t="s">
        <v>1835</v>
      </c>
      <c r="E160" s="9">
        <v>2</v>
      </c>
      <c r="F160" s="5" t="s">
        <v>1703</v>
      </c>
      <c r="G160" s="42" t="s">
        <v>1556</v>
      </c>
      <c r="H160" s="122"/>
      <c r="I160" s="114"/>
    </row>
    <row r="161" spans="1:9" ht="45">
      <c r="A161" s="1"/>
      <c r="B161" s="1"/>
      <c r="C161" s="186"/>
      <c r="D161" s="202" t="s">
        <v>1836</v>
      </c>
      <c r="E161" s="9">
        <v>3</v>
      </c>
      <c r="F161" s="5" t="s">
        <v>1703</v>
      </c>
      <c r="G161" s="42" t="s">
        <v>1556</v>
      </c>
      <c r="H161" s="122"/>
      <c r="I161" s="114"/>
    </row>
    <row r="162" spans="1:9" ht="45">
      <c r="A162" s="1"/>
      <c r="B162" s="1"/>
      <c r="C162" s="186"/>
      <c r="D162" s="202" t="s">
        <v>1851</v>
      </c>
      <c r="E162" s="9">
        <v>4.6100000000000003</v>
      </c>
      <c r="F162" s="5" t="s">
        <v>1703</v>
      </c>
      <c r="G162" s="42" t="s">
        <v>1556</v>
      </c>
      <c r="H162" s="122"/>
      <c r="I162" s="114"/>
    </row>
    <row r="163" spans="1:9" ht="45">
      <c r="A163" s="1"/>
      <c r="B163" s="1"/>
      <c r="C163" s="186"/>
      <c r="D163" s="202" t="s">
        <v>1852</v>
      </c>
      <c r="E163" s="9">
        <v>4.54</v>
      </c>
      <c r="F163" s="5" t="s">
        <v>1703</v>
      </c>
      <c r="G163" s="42" t="s">
        <v>1556</v>
      </c>
      <c r="H163" s="122"/>
      <c r="I163" s="114"/>
    </row>
    <row r="164" spans="1:9" ht="45">
      <c r="A164" s="1"/>
      <c r="B164" s="1"/>
      <c r="C164" s="186"/>
      <c r="D164" s="202" t="s">
        <v>1853</v>
      </c>
      <c r="E164" s="9">
        <v>8.1300000000000008</v>
      </c>
      <c r="F164" s="5" t="s">
        <v>1703</v>
      </c>
      <c r="G164" s="42" t="s">
        <v>1556</v>
      </c>
      <c r="H164" s="122"/>
      <c r="I164" s="114"/>
    </row>
    <row r="165" spans="1:9" ht="45">
      <c r="A165" s="1"/>
      <c r="B165" s="1"/>
      <c r="C165" s="204"/>
      <c r="D165" s="6" t="s">
        <v>1881</v>
      </c>
      <c r="E165" s="7">
        <v>15</v>
      </c>
      <c r="F165" s="6" t="s">
        <v>1875</v>
      </c>
      <c r="G165" s="42" t="s">
        <v>1556</v>
      </c>
      <c r="H165" s="122"/>
      <c r="I165" s="114"/>
    </row>
    <row r="166" spans="1:9" ht="75">
      <c r="A166" s="1"/>
      <c r="B166" s="1"/>
      <c r="C166" s="204"/>
      <c r="D166" s="5" t="s">
        <v>1893</v>
      </c>
      <c r="E166" s="9">
        <v>21.44</v>
      </c>
      <c r="F166" s="5" t="s">
        <v>1892</v>
      </c>
      <c r="G166" s="42" t="s">
        <v>1556</v>
      </c>
      <c r="H166" s="122"/>
      <c r="I166" s="114"/>
    </row>
    <row r="167" spans="1:9" ht="45" customHeight="1">
      <c r="A167" s="1"/>
      <c r="B167" s="1"/>
      <c r="C167" s="239" t="s">
        <v>1928</v>
      </c>
      <c r="D167" s="207" t="s">
        <v>1894</v>
      </c>
      <c r="E167" s="9">
        <v>19.399999999999999</v>
      </c>
      <c r="F167" s="263" t="s">
        <v>1919</v>
      </c>
      <c r="G167" s="234" t="s">
        <v>1504</v>
      </c>
      <c r="H167" s="122"/>
      <c r="I167" s="114"/>
    </row>
    <row r="168" spans="1:9">
      <c r="A168" s="1"/>
      <c r="B168" s="1"/>
      <c r="C168" s="240"/>
      <c r="D168" s="207" t="s">
        <v>1896</v>
      </c>
      <c r="E168" s="9">
        <v>6.3</v>
      </c>
      <c r="F168" s="265"/>
      <c r="G168" s="235"/>
      <c r="H168" s="122"/>
      <c r="I168" s="114"/>
    </row>
    <row r="169" spans="1:9" ht="45">
      <c r="A169" s="1"/>
      <c r="B169" s="1"/>
      <c r="C169" s="241"/>
      <c r="D169" s="76" t="s">
        <v>1929</v>
      </c>
      <c r="E169" s="9">
        <v>430</v>
      </c>
      <c r="F169" s="215" t="s">
        <v>1924</v>
      </c>
      <c r="G169" s="236"/>
      <c r="H169" s="122"/>
      <c r="I169" s="114"/>
    </row>
    <row r="170" spans="1:9" ht="30">
      <c r="A170" s="1"/>
      <c r="B170" s="1"/>
      <c r="C170" s="213"/>
      <c r="D170" s="220" t="s">
        <v>1935</v>
      </c>
      <c r="E170" s="9"/>
      <c r="F170" s="218"/>
      <c r="G170" s="209"/>
      <c r="H170" s="122"/>
      <c r="I170" s="114"/>
    </row>
    <row r="171" spans="1:9">
      <c r="A171" s="1"/>
      <c r="B171" s="1"/>
      <c r="C171" s="1" t="s">
        <v>12</v>
      </c>
      <c r="D171" s="1"/>
      <c r="E171" s="1">
        <f>SUM(E122:E169)</f>
        <v>661.24</v>
      </c>
      <c r="F171" s="1"/>
      <c r="G171" s="1"/>
      <c r="H171">
        <v>205.54</v>
      </c>
    </row>
    <row r="172" spans="1:9">
      <c r="A172" s="1"/>
      <c r="B172" s="1"/>
      <c r="C172" s="1" t="s">
        <v>150</v>
      </c>
      <c r="D172" s="1"/>
      <c r="E172" s="1">
        <f>E171+E121+E107+E99+E94+E82+E74+E69+E58+E51+E43+E36+E29+E22+E13</f>
        <v>950.80199999999991</v>
      </c>
      <c r="F172" s="1"/>
      <c r="G172" s="1"/>
    </row>
    <row r="173" spans="1:9">
      <c r="B173" t="s">
        <v>1319</v>
      </c>
    </row>
    <row r="176" spans="1:9">
      <c r="D176" s="6"/>
    </row>
    <row r="177" spans="4:4">
      <c r="D177" s="6"/>
    </row>
    <row r="178" spans="4:4">
      <c r="D178" s="6"/>
    </row>
  </sheetData>
  <mergeCells count="55">
    <mergeCell ref="C123:C126"/>
    <mergeCell ref="C108:C115"/>
    <mergeCell ref="C59:C63"/>
    <mergeCell ref="C75:C77"/>
    <mergeCell ref="C44:C48"/>
    <mergeCell ref="C83:C87"/>
    <mergeCell ref="C88:C92"/>
    <mergeCell ref="C64:C67"/>
    <mergeCell ref="C101:C105"/>
    <mergeCell ref="C56:C57"/>
    <mergeCell ref="C116:C120"/>
    <mergeCell ref="C78:C80"/>
    <mergeCell ref="C54:C55"/>
    <mergeCell ref="C32:C33"/>
    <mergeCell ref="C16:C20"/>
    <mergeCell ref="C7:C9"/>
    <mergeCell ref="C10:C12"/>
    <mergeCell ref="C23:C26"/>
    <mergeCell ref="C30:C31"/>
    <mergeCell ref="A1:G1"/>
    <mergeCell ref="A2:G2"/>
    <mergeCell ref="A4:A13"/>
    <mergeCell ref="B4:B13"/>
    <mergeCell ref="A15:A22"/>
    <mergeCell ref="B15:B22"/>
    <mergeCell ref="C5:C6"/>
    <mergeCell ref="C14:C15"/>
    <mergeCell ref="A23:A29"/>
    <mergeCell ref="B23:B29"/>
    <mergeCell ref="A30:A36"/>
    <mergeCell ref="B30:B36"/>
    <mergeCell ref="A37:A41"/>
    <mergeCell ref="B37:B43"/>
    <mergeCell ref="A44:A51"/>
    <mergeCell ref="B44:B51"/>
    <mergeCell ref="A52:A58"/>
    <mergeCell ref="B52:B58"/>
    <mergeCell ref="A59:A69"/>
    <mergeCell ref="B59:B69"/>
    <mergeCell ref="C167:C169"/>
    <mergeCell ref="F167:F168"/>
    <mergeCell ref="G167:G169"/>
    <mergeCell ref="C37:C38"/>
    <mergeCell ref="A100:A107"/>
    <mergeCell ref="A108:A121"/>
    <mergeCell ref="B83:B94"/>
    <mergeCell ref="B95:B99"/>
    <mergeCell ref="B100:B107"/>
    <mergeCell ref="B108:B121"/>
    <mergeCell ref="A95:A99"/>
    <mergeCell ref="A70:A74"/>
    <mergeCell ref="B70:B74"/>
    <mergeCell ref="A83:A94"/>
    <mergeCell ref="A75:A82"/>
    <mergeCell ref="B75:B82"/>
  </mergeCells>
  <pageMargins left="0.7" right="0.3" top="0.48" bottom="0.42" header="0.3" footer="0.3"/>
  <pageSetup paperSize="9"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46"/>
  <sheetViews>
    <sheetView topLeftCell="A139" workbookViewId="0">
      <selection activeCell="H144" sqref="H144:H145"/>
    </sheetView>
  </sheetViews>
  <sheetFormatPr defaultRowHeight="15"/>
  <cols>
    <col min="1" max="1" width="6.28515625" customWidth="1"/>
    <col min="2" max="2" width="16.140625" customWidth="1"/>
    <col min="3" max="3" width="18.140625" customWidth="1"/>
    <col min="4" max="4" width="47.28515625" style="6" customWidth="1"/>
    <col min="5" max="5" width="10.42578125" customWidth="1"/>
    <col min="6" max="6" width="21.140625" customWidth="1"/>
    <col min="7" max="7" width="18.28515625" customWidth="1"/>
    <col min="8" max="8" width="37.85546875" customWidth="1"/>
    <col min="9" max="9" width="17" customWidth="1"/>
    <col min="10" max="10" width="15.28515625" customWidth="1"/>
  </cols>
  <sheetData>
    <row r="1" spans="1:9" ht="21">
      <c r="A1" s="255" t="s">
        <v>55</v>
      </c>
      <c r="B1" s="256"/>
      <c r="C1" s="256"/>
      <c r="D1" s="256"/>
      <c r="E1" s="256"/>
      <c r="F1" s="256"/>
      <c r="G1" s="256"/>
    </row>
    <row r="2" spans="1:9" ht="15.75">
      <c r="A2" s="257" t="s">
        <v>236</v>
      </c>
      <c r="B2" s="257"/>
      <c r="C2" s="257"/>
      <c r="D2" s="257"/>
      <c r="E2" s="257"/>
      <c r="F2" s="257"/>
      <c r="G2" s="257"/>
    </row>
    <row r="3" spans="1:9" s="7" customFormat="1" ht="30" customHeight="1">
      <c r="A3" s="3" t="s">
        <v>0</v>
      </c>
      <c r="B3" s="3" t="s">
        <v>10</v>
      </c>
      <c r="C3" s="3" t="s">
        <v>11</v>
      </c>
      <c r="D3" s="3" t="s">
        <v>54</v>
      </c>
      <c r="E3" s="3" t="s">
        <v>59</v>
      </c>
      <c r="F3" s="3" t="s">
        <v>1473</v>
      </c>
      <c r="G3" s="3" t="s">
        <v>57</v>
      </c>
      <c r="H3" s="6"/>
      <c r="I3" s="6"/>
    </row>
    <row r="4" spans="1:9" ht="108.75" customHeight="1">
      <c r="A4" s="251" t="s">
        <v>1</v>
      </c>
      <c r="B4" s="247" t="s">
        <v>237</v>
      </c>
      <c r="C4" s="247" t="s">
        <v>418</v>
      </c>
      <c r="D4" s="59" t="s">
        <v>1038</v>
      </c>
      <c r="E4" s="60">
        <v>2</v>
      </c>
      <c r="F4" s="5" t="s">
        <v>1485</v>
      </c>
      <c r="G4" s="61" t="s">
        <v>1032</v>
      </c>
      <c r="H4" s="4"/>
      <c r="I4" s="4"/>
    </row>
    <row r="5" spans="1:9" ht="112.5" customHeight="1">
      <c r="A5" s="251"/>
      <c r="B5" s="247"/>
      <c r="C5" s="247"/>
      <c r="D5" s="33" t="s">
        <v>1083</v>
      </c>
      <c r="E5" s="64">
        <v>1.5</v>
      </c>
      <c r="F5" s="5" t="s">
        <v>1485</v>
      </c>
      <c r="G5" s="5" t="s">
        <v>1078</v>
      </c>
      <c r="H5" s="4"/>
      <c r="I5" s="4"/>
    </row>
    <row r="6" spans="1:9" ht="27" customHeight="1">
      <c r="A6" s="251"/>
      <c r="B6" s="247"/>
      <c r="C6" s="247"/>
      <c r="D6" s="83" t="s">
        <v>1218</v>
      </c>
      <c r="E6" s="9">
        <v>2</v>
      </c>
      <c r="F6" s="5" t="s">
        <v>1418</v>
      </c>
      <c r="G6" s="5" t="s">
        <v>92</v>
      </c>
      <c r="H6" s="4"/>
      <c r="I6" s="4"/>
    </row>
    <row r="7" spans="1:9" ht="57" customHeight="1">
      <c r="A7" s="251"/>
      <c r="B7" s="247"/>
      <c r="C7" s="247"/>
      <c r="D7" s="110" t="s">
        <v>1360</v>
      </c>
      <c r="E7" s="9">
        <v>0.7</v>
      </c>
      <c r="F7" s="33" t="s">
        <v>1344</v>
      </c>
      <c r="G7" s="5" t="s">
        <v>92</v>
      </c>
      <c r="H7" s="4"/>
      <c r="I7" s="4"/>
    </row>
    <row r="8" spans="1:9" ht="110.25" customHeight="1">
      <c r="A8" s="251"/>
      <c r="B8" s="247"/>
      <c r="C8" s="247"/>
      <c r="D8" s="33" t="s">
        <v>1080</v>
      </c>
      <c r="E8" s="64">
        <v>0.8</v>
      </c>
      <c r="F8" s="5" t="s">
        <v>1485</v>
      </c>
      <c r="G8" s="5" t="s">
        <v>1078</v>
      </c>
      <c r="H8" s="4"/>
      <c r="I8" s="4"/>
    </row>
    <row r="9" spans="1:9" ht="105" customHeight="1">
      <c r="A9" s="251"/>
      <c r="B9" s="247"/>
      <c r="C9" s="247" t="s">
        <v>237</v>
      </c>
      <c r="D9" s="33" t="s">
        <v>1079</v>
      </c>
      <c r="E9" s="64">
        <v>1</v>
      </c>
      <c r="F9" s="5" t="s">
        <v>1485</v>
      </c>
      <c r="G9" s="5" t="s">
        <v>1078</v>
      </c>
      <c r="H9" s="4"/>
      <c r="I9" s="4"/>
    </row>
    <row r="10" spans="1:9" ht="47.25" customHeight="1">
      <c r="A10" s="251"/>
      <c r="B10" s="247"/>
      <c r="C10" s="247"/>
      <c r="D10" s="83" t="s">
        <v>1219</v>
      </c>
      <c r="E10" s="9">
        <v>2</v>
      </c>
      <c r="F10" s="5" t="s">
        <v>1418</v>
      </c>
      <c r="G10" s="5" t="s">
        <v>92</v>
      </c>
      <c r="H10" s="4"/>
      <c r="I10" s="4"/>
    </row>
    <row r="11" spans="1:9" ht="45.75" customHeight="1">
      <c r="A11" s="251"/>
      <c r="B11" s="247"/>
      <c r="C11" s="247"/>
      <c r="D11" s="37" t="s">
        <v>1170</v>
      </c>
      <c r="E11" s="9">
        <v>0.15</v>
      </c>
      <c r="F11" s="5" t="s">
        <v>485</v>
      </c>
      <c r="G11" s="5" t="s">
        <v>1503</v>
      </c>
      <c r="H11" s="4"/>
      <c r="I11" s="4"/>
    </row>
    <row r="12" spans="1:9" ht="42.75" customHeight="1">
      <c r="A12" s="251"/>
      <c r="B12" s="247"/>
      <c r="C12" s="247" t="s">
        <v>419</v>
      </c>
      <c r="D12" s="8" t="s">
        <v>790</v>
      </c>
      <c r="E12" s="5">
        <v>5</v>
      </c>
      <c r="F12" s="6" t="s">
        <v>1403</v>
      </c>
      <c r="G12" s="5" t="s">
        <v>1479</v>
      </c>
      <c r="H12" s="4" t="s">
        <v>1403</v>
      </c>
      <c r="I12" s="7" t="s">
        <v>1398</v>
      </c>
    </row>
    <row r="13" spans="1:9" ht="57" customHeight="1">
      <c r="A13" s="251"/>
      <c r="B13" s="247"/>
      <c r="C13" s="247"/>
      <c r="D13" s="8" t="s">
        <v>792</v>
      </c>
      <c r="E13" s="5">
        <v>0.1</v>
      </c>
      <c r="F13" s="6" t="s">
        <v>1403</v>
      </c>
      <c r="G13" s="5" t="s">
        <v>1479</v>
      </c>
      <c r="H13" s="6" t="s">
        <v>1403</v>
      </c>
      <c r="I13" s="7" t="s">
        <v>1398</v>
      </c>
    </row>
    <row r="14" spans="1:9" ht="34.5" customHeight="1">
      <c r="A14" s="251"/>
      <c r="B14" s="247"/>
      <c r="C14" s="247"/>
      <c r="D14" s="83" t="s">
        <v>1217</v>
      </c>
      <c r="E14" s="9">
        <v>2</v>
      </c>
      <c r="F14" s="5" t="s">
        <v>1418</v>
      </c>
      <c r="G14" s="5" t="s">
        <v>92</v>
      </c>
      <c r="H14" s="4"/>
      <c r="I14" s="4"/>
    </row>
    <row r="15" spans="1:9" ht="34.5" customHeight="1">
      <c r="A15" s="251"/>
      <c r="B15" s="247"/>
      <c r="C15" s="247"/>
      <c r="D15" s="75" t="s">
        <v>1347</v>
      </c>
      <c r="E15" s="1">
        <v>0.5</v>
      </c>
      <c r="F15" s="5" t="s">
        <v>1344</v>
      </c>
      <c r="G15" s="5" t="s">
        <v>92</v>
      </c>
      <c r="H15" s="4"/>
      <c r="I15" s="4"/>
    </row>
    <row r="16" spans="1:9" ht="72.75" customHeight="1">
      <c r="A16" s="251"/>
      <c r="B16" s="247"/>
      <c r="C16" s="247"/>
      <c r="D16" s="5" t="s">
        <v>1084</v>
      </c>
      <c r="E16" s="9">
        <v>5</v>
      </c>
      <c r="F16" s="6" t="s">
        <v>1401</v>
      </c>
      <c r="G16" s="5" t="s">
        <v>92</v>
      </c>
      <c r="H16" s="6" t="s">
        <v>1401</v>
      </c>
      <c r="I16" s="4" t="s">
        <v>1398</v>
      </c>
    </row>
    <row r="17" spans="1:9" ht="17.25" customHeight="1">
      <c r="A17" s="251"/>
      <c r="B17" s="247"/>
      <c r="C17" s="8" t="s">
        <v>12</v>
      </c>
      <c r="D17" s="8"/>
      <c r="E17" s="86">
        <f>SUM(E4:E16)</f>
        <v>22.75</v>
      </c>
      <c r="F17" s="5"/>
      <c r="G17" s="5"/>
      <c r="H17" s="4"/>
      <c r="I17" s="4"/>
    </row>
    <row r="18" spans="1:9" ht="105">
      <c r="A18" s="251" t="s">
        <v>2</v>
      </c>
      <c r="B18" s="247" t="s">
        <v>238</v>
      </c>
      <c r="C18" s="247" t="s">
        <v>348</v>
      </c>
      <c r="D18" s="59" t="s">
        <v>1037</v>
      </c>
      <c r="E18" s="60">
        <v>1.5</v>
      </c>
      <c r="F18" s="5" t="s">
        <v>1485</v>
      </c>
      <c r="G18" s="61" t="s">
        <v>1032</v>
      </c>
      <c r="H18" s="4"/>
      <c r="I18" s="4"/>
    </row>
    <row r="19" spans="1:9" ht="30">
      <c r="A19" s="251"/>
      <c r="B19" s="247"/>
      <c r="C19" s="247"/>
      <c r="D19" s="83" t="s">
        <v>1216</v>
      </c>
      <c r="E19" s="9">
        <v>2</v>
      </c>
      <c r="F19" s="5" t="s">
        <v>1418</v>
      </c>
      <c r="G19" s="5" t="s">
        <v>92</v>
      </c>
      <c r="H19" s="4"/>
      <c r="I19" s="4"/>
    </row>
    <row r="20" spans="1:9" ht="30">
      <c r="A20" s="251"/>
      <c r="B20" s="247"/>
      <c r="C20" s="247"/>
      <c r="D20" s="37" t="s">
        <v>1172</v>
      </c>
      <c r="E20" s="60">
        <v>0.15</v>
      </c>
      <c r="F20" s="5" t="s">
        <v>485</v>
      </c>
      <c r="G20" s="5" t="s">
        <v>1503</v>
      </c>
      <c r="H20" s="4"/>
      <c r="I20" s="4"/>
    </row>
    <row r="21" spans="1:9">
      <c r="A21" s="251"/>
      <c r="B21" s="247"/>
      <c r="C21" s="8" t="s">
        <v>238</v>
      </c>
      <c r="D21" s="8"/>
      <c r="E21" s="5"/>
      <c r="F21" s="5"/>
      <c r="G21" s="5"/>
      <c r="H21" s="4"/>
      <c r="I21" s="4"/>
    </row>
    <row r="22" spans="1:9" ht="30">
      <c r="A22" s="251"/>
      <c r="B22" s="247"/>
      <c r="C22" s="247" t="s">
        <v>420</v>
      </c>
      <c r="D22" s="75" t="s">
        <v>1346</v>
      </c>
      <c r="E22" s="1">
        <v>0.5</v>
      </c>
      <c r="F22" s="5" t="s">
        <v>1344</v>
      </c>
      <c r="G22" s="5" t="s">
        <v>92</v>
      </c>
      <c r="H22" s="4"/>
      <c r="I22" s="4"/>
    </row>
    <row r="23" spans="1:9" ht="75">
      <c r="A23" s="251"/>
      <c r="B23" s="247"/>
      <c r="C23" s="247"/>
      <c r="D23" s="8" t="s">
        <v>789</v>
      </c>
      <c r="E23" s="5">
        <v>2</v>
      </c>
      <c r="F23" s="6" t="s">
        <v>1403</v>
      </c>
      <c r="G23" s="5" t="s">
        <v>1479</v>
      </c>
      <c r="H23" s="4" t="s">
        <v>1403</v>
      </c>
      <c r="I23" s="7" t="s">
        <v>1398</v>
      </c>
    </row>
    <row r="24" spans="1:9">
      <c r="A24" s="251"/>
      <c r="B24" s="247"/>
      <c r="C24" s="8" t="s">
        <v>12</v>
      </c>
      <c r="D24" s="8"/>
      <c r="E24" s="86">
        <f>SUM(E18:E23)</f>
        <v>6.15</v>
      </c>
      <c r="F24" s="5"/>
      <c r="G24" s="5"/>
      <c r="H24" s="4"/>
      <c r="I24" s="4"/>
    </row>
    <row r="25" spans="1:9" ht="30">
      <c r="A25" s="251" t="s">
        <v>3</v>
      </c>
      <c r="B25" s="247" t="s">
        <v>239</v>
      </c>
      <c r="C25" s="8" t="s">
        <v>421</v>
      </c>
      <c r="D25" s="83" t="s">
        <v>1214</v>
      </c>
      <c r="E25" s="9">
        <v>2</v>
      </c>
      <c r="F25" s="5" t="s">
        <v>1418</v>
      </c>
      <c r="G25" s="5" t="s">
        <v>92</v>
      </c>
      <c r="H25" s="4"/>
      <c r="I25" s="4"/>
    </row>
    <row r="26" spans="1:9" ht="105">
      <c r="A26" s="251"/>
      <c r="B26" s="247"/>
      <c r="C26" s="244" t="s">
        <v>239</v>
      </c>
      <c r="D26" s="33" t="s">
        <v>1082</v>
      </c>
      <c r="E26" s="64">
        <v>0.5</v>
      </c>
      <c r="F26" s="5" t="s">
        <v>1485</v>
      </c>
      <c r="G26" s="5" t="s">
        <v>1078</v>
      </c>
      <c r="H26" s="4"/>
      <c r="I26" s="4"/>
    </row>
    <row r="27" spans="1:9" ht="75">
      <c r="A27" s="251"/>
      <c r="B27" s="247"/>
      <c r="C27" s="246"/>
      <c r="D27" s="5" t="s">
        <v>748</v>
      </c>
      <c r="E27" s="9">
        <v>30</v>
      </c>
      <c r="F27" s="4" t="s">
        <v>1403</v>
      </c>
      <c r="G27" s="5" t="s">
        <v>787</v>
      </c>
      <c r="H27" s="4" t="s">
        <v>1403</v>
      </c>
      <c r="I27" s="7" t="s">
        <v>1398</v>
      </c>
    </row>
    <row r="28" spans="1:9">
      <c r="A28" s="251"/>
      <c r="B28" s="247"/>
      <c r="C28" s="80" t="s">
        <v>12</v>
      </c>
      <c r="D28" s="11"/>
      <c r="E28" s="88">
        <f>SUM(E25:E27)</f>
        <v>32.5</v>
      </c>
      <c r="F28" s="13"/>
      <c r="G28" s="13"/>
      <c r="H28" s="4"/>
      <c r="I28" s="4"/>
    </row>
    <row r="29" spans="1:9" ht="75">
      <c r="A29" s="251" t="s">
        <v>4</v>
      </c>
      <c r="B29" s="247" t="s">
        <v>235</v>
      </c>
      <c r="C29" s="247" t="s">
        <v>422</v>
      </c>
      <c r="D29" s="23" t="s">
        <v>804</v>
      </c>
      <c r="E29" s="15">
        <v>7.06</v>
      </c>
      <c r="F29" s="6" t="s">
        <v>1401</v>
      </c>
      <c r="G29" s="15" t="s">
        <v>805</v>
      </c>
      <c r="H29" s="6" t="s">
        <v>1401</v>
      </c>
      <c r="I29" s="4" t="s">
        <v>1398</v>
      </c>
    </row>
    <row r="30" spans="1:9" ht="75">
      <c r="A30" s="251"/>
      <c r="B30" s="247"/>
      <c r="C30" s="247"/>
      <c r="D30" s="23" t="s">
        <v>806</v>
      </c>
      <c r="E30" s="15">
        <v>2</v>
      </c>
      <c r="F30" s="6" t="s">
        <v>1401</v>
      </c>
      <c r="G30" s="15" t="s">
        <v>986</v>
      </c>
      <c r="H30" s="6" t="s">
        <v>1401</v>
      </c>
      <c r="I30" s="4" t="s">
        <v>1398</v>
      </c>
    </row>
    <row r="31" spans="1:9" ht="30">
      <c r="A31" s="251"/>
      <c r="B31" s="247"/>
      <c r="C31" s="247"/>
      <c r="D31" s="75" t="s">
        <v>1345</v>
      </c>
      <c r="E31" s="1">
        <v>0.5</v>
      </c>
      <c r="F31" s="15" t="s">
        <v>1344</v>
      </c>
      <c r="G31" s="5" t="s">
        <v>92</v>
      </c>
      <c r="H31" s="4"/>
      <c r="I31" s="4"/>
    </row>
    <row r="32" spans="1:9" ht="105">
      <c r="A32" s="251"/>
      <c r="B32" s="247"/>
      <c r="C32" s="247"/>
      <c r="D32" s="59" t="s">
        <v>1039</v>
      </c>
      <c r="E32" s="60">
        <v>1</v>
      </c>
      <c r="F32" s="5" t="s">
        <v>1485</v>
      </c>
      <c r="G32" s="61" t="s">
        <v>1032</v>
      </c>
      <c r="H32" s="4"/>
      <c r="I32" s="4"/>
    </row>
    <row r="33" spans="1:9" ht="75">
      <c r="A33" s="251"/>
      <c r="B33" s="247"/>
      <c r="C33" s="247" t="s">
        <v>235</v>
      </c>
      <c r="D33" s="8" t="s">
        <v>1085</v>
      </c>
      <c r="E33" s="5">
        <v>0.05</v>
      </c>
      <c r="F33" s="6" t="s">
        <v>1401</v>
      </c>
      <c r="G33" s="5" t="s">
        <v>731</v>
      </c>
      <c r="H33" s="6" t="s">
        <v>1401</v>
      </c>
      <c r="I33" s="6" t="s">
        <v>1400</v>
      </c>
    </row>
    <row r="34" spans="1:9" ht="75">
      <c r="A34" s="251"/>
      <c r="B34" s="247"/>
      <c r="C34" s="247"/>
      <c r="D34" s="8" t="s">
        <v>732</v>
      </c>
      <c r="E34" s="5">
        <v>0.05</v>
      </c>
      <c r="F34" s="6" t="s">
        <v>1401</v>
      </c>
      <c r="G34" s="5" t="s">
        <v>731</v>
      </c>
      <c r="H34" s="6" t="s">
        <v>1401</v>
      </c>
      <c r="I34" s="6" t="s">
        <v>1400</v>
      </c>
    </row>
    <row r="35" spans="1:9" ht="75">
      <c r="A35" s="251"/>
      <c r="B35" s="247"/>
      <c r="C35" s="247"/>
      <c r="D35" s="8" t="s">
        <v>733</v>
      </c>
      <c r="E35" s="5">
        <v>0.25</v>
      </c>
      <c r="F35" s="6" t="s">
        <v>1401</v>
      </c>
      <c r="G35" s="5" t="s">
        <v>731</v>
      </c>
      <c r="H35" s="6" t="s">
        <v>1401</v>
      </c>
      <c r="I35" s="6" t="s">
        <v>1400</v>
      </c>
    </row>
    <row r="36" spans="1:9" ht="75">
      <c r="A36" s="251"/>
      <c r="B36" s="247"/>
      <c r="C36" s="247"/>
      <c r="D36" s="8" t="s">
        <v>734</v>
      </c>
      <c r="E36" s="5">
        <v>1.25</v>
      </c>
      <c r="F36" s="6" t="s">
        <v>1401</v>
      </c>
      <c r="G36" s="5" t="s">
        <v>731</v>
      </c>
      <c r="H36" s="6" t="s">
        <v>1401</v>
      </c>
      <c r="I36" s="6" t="s">
        <v>1400</v>
      </c>
    </row>
    <row r="37" spans="1:9" ht="75">
      <c r="A37" s="251"/>
      <c r="B37" s="247"/>
      <c r="C37" s="247"/>
      <c r="D37" s="8" t="s">
        <v>1402</v>
      </c>
      <c r="E37" s="5">
        <v>0.37</v>
      </c>
      <c r="F37" s="6" t="s">
        <v>1401</v>
      </c>
      <c r="G37" s="5" t="s">
        <v>1481</v>
      </c>
      <c r="H37" s="6" t="s">
        <v>1401</v>
      </c>
      <c r="I37" s="6" t="s">
        <v>1398</v>
      </c>
    </row>
    <row r="38" spans="1:9" ht="30">
      <c r="A38" s="251"/>
      <c r="B38" s="247"/>
      <c r="C38" s="247"/>
      <c r="D38" s="83" t="s">
        <v>1220</v>
      </c>
      <c r="E38" s="9">
        <v>2</v>
      </c>
      <c r="F38" s="5" t="s">
        <v>1418</v>
      </c>
      <c r="G38" s="5" t="s">
        <v>92</v>
      </c>
      <c r="H38" s="4"/>
      <c r="I38" s="4"/>
    </row>
    <row r="39" spans="1:9" ht="90">
      <c r="A39" s="251"/>
      <c r="B39" s="247"/>
      <c r="C39" s="247"/>
      <c r="D39" s="5" t="s">
        <v>868</v>
      </c>
      <c r="E39" s="9">
        <v>0.5</v>
      </c>
      <c r="F39" s="6" t="s">
        <v>1397</v>
      </c>
      <c r="G39" s="25" t="s">
        <v>862</v>
      </c>
      <c r="H39" s="6" t="s">
        <v>1401</v>
      </c>
      <c r="I39" s="6" t="s">
        <v>1398</v>
      </c>
    </row>
    <row r="40" spans="1:9" ht="90">
      <c r="A40" s="251"/>
      <c r="B40" s="247"/>
      <c r="C40" s="247"/>
      <c r="D40" s="5" t="s">
        <v>873</v>
      </c>
      <c r="E40" s="9">
        <v>0.5</v>
      </c>
      <c r="F40" s="6" t="s">
        <v>1397</v>
      </c>
      <c r="G40" s="25" t="s">
        <v>862</v>
      </c>
      <c r="H40" s="6" t="s">
        <v>1401</v>
      </c>
      <c r="I40" s="6" t="s">
        <v>1398</v>
      </c>
    </row>
    <row r="41" spans="1:9" ht="86.25" customHeight="1">
      <c r="A41" s="251"/>
      <c r="B41" s="247"/>
      <c r="C41" s="247" t="s">
        <v>423</v>
      </c>
      <c r="D41" s="8" t="s">
        <v>648</v>
      </c>
      <c r="E41" s="5">
        <v>4</v>
      </c>
      <c r="F41" s="5" t="s">
        <v>1426</v>
      </c>
      <c r="G41" s="5" t="s">
        <v>642</v>
      </c>
      <c r="H41" s="5" t="s">
        <v>1426</v>
      </c>
      <c r="I41" s="115" t="s">
        <v>1398</v>
      </c>
    </row>
    <row r="42" spans="1:9" ht="114" customHeight="1">
      <c r="A42" s="251"/>
      <c r="B42" s="247"/>
      <c r="C42" s="247"/>
      <c r="D42" s="34" t="s">
        <v>920</v>
      </c>
      <c r="E42" s="46">
        <v>3</v>
      </c>
      <c r="F42" s="5" t="s">
        <v>1485</v>
      </c>
      <c r="G42" s="44" t="s">
        <v>958</v>
      </c>
      <c r="H42" s="122"/>
      <c r="I42" s="114"/>
    </row>
    <row r="43" spans="1:9" ht="105.75" customHeight="1">
      <c r="A43" s="251"/>
      <c r="B43" s="247"/>
      <c r="C43" s="247"/>
      <c r="D43" s="5" t="s">
        <v>622</v>
      </c>
      <c r="E43" s="9">
        <v>1</v>
      </c>
      <c r="F43" s="5" t="s">
        <v>1426</v>
      </c>
      <c r="G43" s="5" t="s">
        <v>487</v>
      </c>
      <c r="H43" s="5" t="s">
        <v>1426</v>
      </c>
      <c r="I43" s="115" t="s">
        <v>1398</v>
      </c>
    </row>
    <row r="44" spans="1:9" ht="90">
      <c r="A44" s="251"/>
      <c r="B44" s="247"/>
      <c r="C44" s="247" t="s">
        <v>424</v>
      </c>
      <c r="D44" s="8" t="s">
        <v>875</v>
      </c>
      <c r="E44" s="5">
        <v>19.309999999999999</v>
      </c>
      <c r="F44" s="6" t="s">
        <v>1397</v>
      </c>
      <c r="G44" s="5" t="s">
        <v>783</v>
      </c>
      <c r="H44" s="6" t="s">
        <v>1401</v>
      </c>
      <c r="I44" s="6" t="s">
        <v>1398</v>
      </c>
    </row>
    <row r="45" spans="1:9" ht="105">
      <c r="A45" s="251"/>
      <c r="B45" s="247"/>
      <c r="C45" s="247"/>
      <c r="D45" s="59" t="s">
        <v>1043</v>
      </c>
      <c r="E45" s="60">
        <v>2</v>
      </c>
      <c r="F45" s="5" t="s">
        <v>1485</v>
      </c>
      <c r="G45" s="61" t="s">
        <v>1032</v>
      </c>
      <c r="H45" s="4"/>
      <c r="I45" s="4"/>
    </row>
    <row r="46" spans="1:9">
      <c r="A46" s="251"/>
      <c r="B46" s="247"/>
      <c r="C46" s="8" t="s">
        <v>12</v>
      </c>
      <c r="D46" s="8"/>
      <c r="E46" s="5">
        <f>SUM(E29:E45)</f>
        <v>44.84</v>
      </c>
      <c r="F46" s="5"/>
      <c r="G46" s="5"/>
      <c r="H46" s="4"/>
      <c r="I46" s="4"/>
    </row>
    <row r="47" spans="1:9" ht="105">
      <c r="A47" s="251" t="s">
        <v>5</v>
      </c>
      <c r="B47" s="247" t="s">
        <v>240</v>
      </c>
      <c r="C47" s="244" t="s">
        <v>240</v>
      </c>
      <c r="D47" s="59" t="s">
        <v>1034</v>
      </c>
      <c r="E47" s="60">
        <v>2</v>
      </c>
      <c r="F47" s="5" t="s">
        <v>1485</v>
      </c>
      <c r="G47" s="61" t="s">
        <v>1032</v>
      </c>
      <c r="H47" s="4"/>
      <c r="I47" s="4"/>
    </row>
    <row r="48" spans="1:9" ht="75">
      <c r="A48" s="251"/>
      <c r="B48" s="247"/>
      <c r="C48" s="245"/>
      <c r="D48" s="5" t="s">
        <v>619</v>
      </c>
      <c r="E48" s="9">
        <v>5</v>
      </c>
      <c r="F48" s="5" t="s">
        <v>1426</v>
      </c>
      <c r="G48" s="5" t="s">
        <v>626</v>
      </c>
      <c r="H48" s="5" t="s">
        <v>1426</v>
      </c>
      <c r="I48" s="115" t="s">
        <v>1398</v>
      </c>
    </row>
    <row r="49" spans="1:9" ht="75">
      <c r="A49" s="251"/>
      <c r="B49" s="247"/>
      <c r="C49" s="245"/>
      <c r="D49" s="5" t="s">
        <v>620</v>
      </c>
      <c r="E49" s="9">
        <v>10</v>
      </c>
      <c r="F49" s="5" t="s">
        <v>1426</v>
      </c>
      <c r="G49" s="5" t="s">
        <v>626</v>
      </c>
      <c r="H49" s="5" t="s">
        <v>1426</v>
      </c>
      <c r="I49" s="115" t="s">
        <v>1398</v>
      </c>
    </row>
    <row r="50" spans="1:9" ht="75">
      <c r="A50" s="251"/>
      <c r="B50" s="247"/>
      <c r="C50" s="245"/>
      <c r="D50" s="5" t="s">
        <v>623</v>
      </c>
      <c r="E50" s="9">
        <v>1.5</v>
      </c>
      <c r="F50" s="5" t="s">
        <v>1426</v>
      </c>
      <c r="G50" s="5" t="s">
        <v>487</v>
      </c>
      <c r="H50" s="5" t="s">
        <v>1426</v>
      </c>
      <c r="I50" s="115" t="s">
        <v>1398</v>
      </c>
    </row>
    <row r="51" spans="1:9" ht="75">
      <c r="A51" s="251"/>
      <c r="B51" s="247"/>
      <c r="C51" s="245"/>
      <c r="D51" s="5" t="s">
        <v>624</v>
      </c>
      <c r="E51" s="9">
        <v>0.3</v>
      </c>
      <c r="F51" s="5" t="s">
        <v>1426</v>
      </c>
      <c r="G51" s="5" t="s">
        <v>487</v>
      </c>
      <c r="H51" s="5" t="s">
        <v>1426</v>
      </c>
      <c r="I51" s="115" t="s">
        <v>1398</v>
      </c>
    </row>
    <row r="52" spans="1:9" ht="75">
      <c r="A52" s="251"/>
      <c r="B52" s="247"/>
      <c r="C52" s="245"/>
      <c r="D52" s="5" t="s">
        <v>625</v>
      </c>
      <c r="E52" s="9">
        <v>0.2</v>
      </c>
      <c r="F52" s="5" t="s">
        <v>1426</v>
      </c>
      <c r="G52" s="5" t="s">
        <v>487</v>
      </c>
      <c r="H52" s="5" t="s">
        <v>1426</v>
      </c>
      <c r="I52" s="115" t="s">
        <v>1398</v>
      </c>
    </row>
    <row r="53" spans="1:9" ht="75">
      <c r="A53" s="251"/>
      <c r="B53" s="247"/>
      <c r="C53" s="246"/>
      <c r="D53" s="5" t="s">
        <v>747</v>
      </c>
      <c r="E53" s="9">
        <v>25</v>
      </c>
      <c r="F53" s="4" t="s">
        <v>1403</v>
      </c>
      <c r="G53" s="5" t="s">
        <v>787</v>
      </c>
      <c r="H53" s="4" t="s">
        <v>1403</v>
      </c>
      <c r="I53" s="7" t="s">
        <v>1398</v>
      </c>
    </row>
    <row r="54" spans="1:9" ht="75">
      <c r="A54" s="251"/>
      <c r="B54" s="247"/>
      <c r="C54" s="247" t="s">
        <v>243</v>
      </c>
      <c r="D54" s="8" t="s">
        <v>749</v>
      </c>
      <c r="E54" s="5">
        <v>10</v>
      </c>
      <c r="F54" s="4" t="s">
        <v>1403</v>
      </c>
      <c r="G54" s="5" t="s">
        <v>787</v>
      </c>
      <c r="H54" s="4" t="s">
        <v>1403</v>
      </c>
      <c r="I54" s="7" t="s">
        <v>1398</v>
      </c>
    </row>
    <row r="55" spans="1:9" ht="105">
      <c r="A55" s="251"/>
      <c r="B55" s="247"/>
      <c r="C55" s="247"/>
      <c r="D55" s="34" t="s">
        <v>951</v>
      </c>
      <c r="E55" s="46">
        <v>3</v>
      </c>
      <c r="F55" s="5" t="s">
        <v>1485</v>
      </c>
      <c r="G55" s="44" t="s">
        <v>958</v>
      </c>
      <c r="H55" s="4"/>
      <c r="I55" s="4"/>
    </row>
    <row r="56" spans="1:9" ht="105">
      <c r="A56" s="251"/>
      <c r="B56" s="247"/>
      <c r="C56" s="247"/>
      <c r="D56" s="34" t="s">
        <v>952</v>
      </c>
      <c r="E56" s="46">
        <v>2.5</v>
      </c>
      <c r="F56" s="5" t="s">
        <v>1485</v>
      </c>
      <c r="G56" s="44" t="s">
        <v>958</v>
      </c>
      <c r="H56" s="4"/>
      <c r="I56" s="4"/>
    </row>
    <row r="57" spans="1:9" ht="105">
      <c r="A57" s="251"/>
      <c r="B57" s="247"/>
      <c r="C57" s="247"/>
      <c r="D57" s="33" t="s">
        <v>1081</v>
      </c>
      <c r="E57" s="64">
        <v>0.8</v>
      </c>
      <c r="F57" s="5" t="s">
        <v>1485</v>
      </c>
      <c r="G57" s="5" t="s">
        <v>1078</v>
      </c>
      <c r="H57" s="4"/>
      <c r="I57" s="4"/>
    </row>
    <row r="58" spans="1:9" ht="75">
      <c r="A58" s="251"/>
      <c r="B58" s="247"/>
      <c r="C58" s="247"/>
      <c r="D58" s="5" t="s">
        <v>618</v>
      </c>
      <c r="E58" s="9">
        <v>3</v>
      </c>
      <c r="F58" s="5" t="s">
        <v>1426</v>
      </c>
      <c r="G58" s="5" t="s">
        <v>626</v>
      </c>
      <c r="H58" s="5" t="s">
        <v>1426</v>
      </c>
      <c r="I58" s="115" t="s">
        <v>1398</v>
      </c>
    </row>
    <row r="59" spans="1:9" ht="30">
      <c r="A59" s="251"/>
      <c r="B59" s="247"/>
      <c r="C59" s="247"/>
      <c r="D59" s="6" t="s">
        <v>1534</v>
      </c>
      <c r="E59" s="7">
        <v>2</v>
      </c>
      <c r="F59" s="5" t="s">
        <v>1533</v>
      </c>
      <c r="G59" s="172" t="s">
        <v>1521</v>
      </c>
      <c r="H59" s="122"/>
      <c r="I59" s="114"/>
    </row>
    <row r="60" spans="1:9" ht="173.25">
      <c r="A60" s="251"/>
      <c r="B60" s="247"/>
      <c r="C60" s="247"/>
      <c r="D60" s="78" t="s">
        <v>1552</v>
      </c>
      <c r="E60" s="183">
        <v>700</v>
      </c>
      <c r="F60" s="78" t="s">
        <v>1548</v>
      </c>
      <c r="G60" s="184" t="s">
        <v>1551</v>
      </c>
    </row>
    <row r="61" spans="1:9">
      <c r="A61" s="251"/>
      <c r="B61" s="247"/>
      <c r="C61" s="80" t="s">
        <v>12</v>
      </c>
      <c r="D61" s="16"/>
      <c r="E61" s="88">
        <f>SUM(E47:E60)</f>
        <v>765.3</v>
      </c>
      <c r="F61" s="13"/>
      <c r="G61" s="12"/>
      <c r="H61" s="4"/>
      <c r="I61" s="4"/>
    </row>
    <row r="62" spans="1:9" ht="75">
      <c r="A62" s="251" t="s">
        <v>6</v>
      </c>
      <c r="B62" s="247" t="s">
        <v>241</v>
      </c>
      <c r="C62" s="247" t="s">
        <v>241</v>
      </c>
      <c r="D62" s="8" t="s">
        <v>791</v>
      </c>
      <c r="E62" s="5">
        <v>2</v>
      </c>
      <c r="F62" s="6" t="s">
        <v>1403</v>
      </c>
      <c r="G62" s="5" t="s">
        <v>1479</v>
      </c>
      <c r="H62" s="4" t="s">
        <v>1403</v>
      </c>
      <c r="I62" s="7" t="s">
        <v>1398</v>
      </c>
    </row>
    <row r="63" spans="1:9" ht="105">
      <c r="A63" s="251"/>
      <c r="B63" s="247"/>
      <c r="C63" s="247"/>
      <c r="D63" s="35" t="s">
        <v>924</v>
      </c>
      <c r="E63" s="46">
        <v>0.5</v>
      </c>
      <c r="F63" s="5" t="s">
        <v>1485</v>
      </c>
      <c r="G63" s="44" t="s">
        <v>958</v>
      </c>
      <c r="H63" s="4"/>
      <c r="I63" s="4"/>
    </row>
    <row r="64" spans="1:9" ht="105">
      <c r="A64" s="251"/>
      <c r="B64" s="247"/>
      <c r="C64" s="247"/>
      <c r="D64" s="35" t="s">
        <v>925</v>
      </c>
      <c r="E64" s="46">
        <v>0.2</v>
      </c>
      <c r="F64" s="5" t="s">
        <v>1485</v>
      </c>
      <c r="G64" s="44" t="s">
        <v>958</v>
      </c>
      <c r="H64" s="4"/>
      <c r="I64" s="4"/>
    </row>
    <row r="65" spans="1:9" ht="105">
      <c r="A65" s="251"/>
      <c r="B65" s="247"/>
      <c r="C65" s="247"/>
      <c r="D65" s="34" t="s">
        <v>889</v>
      </c>
      <c r="E65" s="45">
        <v>20</v>
      </c>
      <c r="F65" s="5" t="s">
        <v>1485</v>
      </c>
      <c r="G65" s="44" t="s">
        <v>958</v>
      </c>
      <c r="H65" s="4"/>
      <c r="I65" s="4"/>
    </row>
    <row r="66" spans="1:9" ht="30">
      <c r="A66" s="251"/>
      <c r="B66" s="247"/>
      <c r="C66" s="247"/>
      <c r="D66" s="83" t="s">
        <v>1213</v>
      </c>
      <c r="E66" s="9">
        <v>2</v>
      </c>
      <c r="F66" s="5" t="s">
        <v>1418</v>
      </c>
      <c r="G66" s="5" t="s">
        <v>92</v>
      </c>
      <c r="H66" s="4"/>
      <c r="I66" s="4"/>
    </row>
    <row r="67" spans="1:9" ht="30">
      <c r="A67" s="251"/>
      <c r="B67" s="247"/>
      <c r="C67" s="247"/>
      <c r="D67" s="5" t="s">
        <v>1129</v>
      </c>
      <c r="E67" s="9">
        <v>1</v>
      </c>
      <c r="F67" s="5" t="s">
        <v>485</v>
      </c>
      <c r="G67" s="5" t="s">
        <v>1117</v>
      </c>
      <c r="H67" s="4"/>
      <c r="I67" s="4"/>
    </row>
    <row r="68" spans="1:9">
      <c r="A68" s="251"/>
      <c r="B68" s="247"/>
      <c r="C68" s="8" t="s">
        <v>12</v>
      </c>
      <c r="D68" s="8"/>
      <c r="E68" s="5">
        <f>SUM(E62:E67)</f>
        <v>25.7</v>
      </c>
      <c r="F68" s="5"/>
      <c r="G68" s="5"/>
      <c r="H68" s="4"/>
      <c r="I68" s="4"/>
    </row>
    <row r="69" spans="1:9" ht="108" customHeight="1">
      <c r="A69" s="251" t="s">
        <v>7</v>
      </c>
      <c r="B69" s="247" t="s">
        <v>242</v>
      </c>
      <c r="C69" s="247" t="s">
        <v>242</v>
      </c>
      <c r="D69" s="59" t="s">
        <v>1033</v>
      </c>
      <c r="E69" s="60">
        <v>1.5</v>
      </c>
      <c r="F69" s="5" t="s">
        <v>1485</v>
      </c>
      <c r="G69" s="61" t="s">
        <v>1032</v>
      </c>
      <c r="H69" s="4"/>
      <c r="I69" s="4"/>
    </row>
    <row r="70" spans="1:9" ht="30.75" customHeight="1">
      <c r="A70" s="251"/>
      <c r="B70" s="247"/>
      <c r="C70" s="247"/>
      <c r="D70" s="59" t="s">
        <v>1396</v>
      </c>
      <c r="E70" s="60">
        <v>10</v>
      </c>
      <c r="F70" s="5" t="s">
        <v>1388</v>
      </c>
      <c r="G70" s="5" t="s">
        <v>92</v>
      </c>
      <c r="H70" s="4"/>
      <c r="I70" s="4"/>
    </row>
    <row r="71" spans="1:9" ht="103.5" customHeight="1">
      <c r="A71" s="251"/>
      <c r="B71" s="247"/>
      <c r="C71" s="247"/>
      <c r="D71" s="59" t="s">
        <v>1042</v>
      </c>
      <c r="E71" s="63">
        <v>10</v>
      </c>
      <c r="F71" s="5" t="s">
        <v>1485</v>
      </c>
      <c r="G71" s="61" t="s">
        <v>1032</v>
      </c>
      <c r="H71" s="4"/>
      <c r="I71" s="4"/>
    </row>
    <row r="72" spans="1:9" ht="75.75" customHeight="1">
      <c r="A72" s="251"/>
      <c r="B72" s="247"/>
      <c r="C72" s="247"/>
      <c r="D72" s="5" t="s">
        <v>1528</v>
      </c>
      <c r="E72" s="9">
        <v>35</v>
      </c>
      <c r="F72" s="5" t="s">
        <v>1529</v>
      </c>
      <c r="G72" s="172" t="s">
        <v>1521</v>
      </c>
      <c r="H72" s="6">
        <v>35044040.640000001</v>
      </c>
      <c r="I72" s="4">
        <f>H72/1000000</f>
        <v>35.044040639999999</v>
      </c>
    </row>
    <row r="73" spans="1:9">
      <c r="A73" s="251"/>
      <c r="B73" s="247"/>
      <c r="C73" s="8" t="s">
        <v>425</v>
      </c>
      <c r="D73" s="8"/>
      <c r="E73" s="5"/>
      <c r="F73" s="5"/>
      <c r="G73" s="5"/>
      <c r="H73" s="4"/>
      <c r="I73" s="4"/>
    </row>
    <row r="74" spans="1:9" ht="20.25" customHeight="1">
      <c r="A74" s="251"/>
      <c r="B74" s="247"/>
      <c r="C74" s="80" t="s">
        <v>12</v>
      </c>
      <c r="D74" s="16"/>
      <c r="E74" s="107">
        <f>SUM(E69:E73)</f>
        <v>56.5</v>
      </c>
      <c r="F74" s="15"/>
      <c r="G74" s="21"/>
      <c r="H74" s="4"/>
      <c r="I74" s="4"/>
    </row>
    <row r="75" spans="1:9" ht="111" customHeight="1">
      <c r="A75" s="81"/>
      <c r="B75" s="247" t="s">
        <v>243</v>
      </c>
      <c r="C75" s="247" t="s">
        <v>426</v>
      </c>
      <c r="D75" s="59" t="s">
        <v>1040</v>
      </c>
      <c r="E75" s="60">
        <v>1</v>
      </c>
      <c r="F75" s="5" t="s">
        <v>1485</v>
      </c>
      <c r="G75" s="61" t="s">
        <v>1032</v>
      </c>
      <c r="H75" s="4"/>
      <c r="I75" s="4"/>
    </row>
    <row r="76" spans="1:9" ht="77.25" customHeight="1">
      <c r="A76" s="251" t="s">
        <v>9</v>
      </c>
      <c r="B76" s="247"/>
      <c r="C76" s="247"/>
      <c r="D76" s="8" t="s">
        <v>746</v>
      </c>
      <c r="E76" s="5">
        <v>4</v>
      </c>
      <c r="F76" s="4" t="s">
        <v>1403</v>
      </c>
      <c r="G76" s="5" t="s">
        <v>787</v>
      </c>
      <c r="H76" s="4" t="s">
        <v>1403</v>
      </c>
      <c r="I76" s="7" t="s">
        <v>1398</v>
      </c>
    </row>
    <row r="77" spans="1:9" ht="45" customHeight="1">
      <c r="A77" s="251"/>
      <c r="B77" s="247"/>
      <c r="C77" s="247" t="s">
        <v>427</v>
      </c>
      <c r="D77" s="83" t="s">
        <v>1215</v>
      </c>
      <c r="E77" s="9">
        <v>2</v>
      </c>
      <c r="F77" s="5" t="s">
        <v>1418</v>
      </c>
      <c r="G77" s="5" t="s">
        <v>92</v>
      </c>
      <c r="H77" s="4"/>
      <c r="I77" s="4"/>
    </row>
    <row r="78" spans="1:9" ht="34.5" customHeight="1">
      <c r="A78" s="251"/>
      <c r="B78" s="247"/>
      <c r="C78" s="247"/>
      <c r="D78" s="75" t="s">
        <v>1348</v>
      </c>
      <c r="E78" s="9">
        <v>0.5</v>
      </c>
      <c r="F78" s="5" t="s">
        <v>1344</v>
      </c>
      <c r="G78" s="5" t="s">
        <v>92</v>
      </c>
      <c r="H78" s="4"/>
      <c r="I78" s="4"/>
    </row>
    <row r="79" spans="1:9" ht="105">
      <c r="A79" s="251"/>
      <c r="B79" s="247"/>
      <c r="C79" s="247"/>
      <c r="D79" s="35" t="s">
        <v>922</v>
      </c>
      <c r="E79" s="46">
        <v>0.5</v>
      </c>
      <c r="F79" s="5" t="s">
        <v>1485</v>
      </c>
      <c r="G79" s="44" t="s">
        <v>958</v>
      </c>
      <c r="H79" s="4"/>
      <c r="I79" s="4"/>
    </row>
    <row r="80" spans="1:9">
      <c r="A80" s="251"/>
      <c r="B80" s="247"/>
      <c r="C80" s="8" t="s">
        <v>12</v>
      </c>
      <c r="D80" s="8"/>
      <c r="E80" s="86">
        <f>SUM(E75:E79)</f>
        <v>8</v>
      </c>
      <c r="F80" s="5"/>
      <c r="G80" s="5"/>
      <c r="H80" s="4"/>
      <c r="I80" s="4"/>
    </row>
    <row r="81" spans="1:9" ht="105">
      <c r="A81" s="251" t="s">
        <v>13</v>
      </c>
      <c r="B81" s="247" t="s">
        <v>244</v>
      </c>
      <c r="C81" s="244" t="s">
        <v>244</v>
      </c>
      <c r="D81" s="59" t="s">
        <v>1036</v>
      </c>
      <c r="E81" s="60">
        <v>2</v>
      </c>
      <c r="F81" s="5" t="s">
        <v>1485</v>
      </c>
      <c r="G81" s="61" t="s">
        <v>1032</v>
      </c>
      <c r="H81" s="4"/>
      <c r="I81" s="4"/>
    </row>
    <row r="82" spans="1:9" ht="60">
      <c r="A82" s="251"/>
      <c r="B82" s="247"/>
      <c r="C82" s="246"/>
      <c r="D82" s="5" t="s">
        <v>621</v>
      </c>
      <c r="E82" s="9">
        <v>2</v>
      </c>
      <c r="F82" s="5" t="s">
        <v>487</v>
      </c>
      <c r="G82" s="5" t="s">
        <v>487</v>
      </c>
      <c r="H82" s="5" t="s">
        <v>1426</v>
      </c>
      <c r="I82" s="115" t="s">
        <v>1398</v>
      </c>
    </row>
    <row r="83" spans="1:9">
      <c r="A83" s="251"/>
      <c r="B83" s="247"/>
      <c r="C83" s="8" t="s">
        <v>428</v>
      </c>
      <c r="D83" s="8"/>
      <c r="E83" s="5"/>
      <c r="F83" s="5"/>
      <c r="G83" s="5"/>
      <c r="H83" s="4"/>
      <c r="I83" s="4"/>
    </row>
    <row r="84" spans="1:9" ht="105">
      <c r="A84" s="251"/>
      <c r="B84" s="247"/>
      <c r="C84" s="247" t="s">
        <v>429</v>
      </c>
      <c r="D84" s="34" t="s">
        <v>919</v>
      </c>
      <c r="E84" s="46">
        <v>3</v>
      </c>
      <c r="F84" s="5" t="s">
        <v>1485</v>
      </c>
      <c r="G84" s="44" t="s">
        <v>958</v>
      </c>
      <c r="H84" s="4"/>
      <c r="I84" s="4"/>
    </row>
    <row r="85" spans="1:9" ht="105">
      <c r="A85" s="251"/>
      <c r="B85" s="247"/>
      <c r="C85" s="247"/>
      <c r="D85" s="35" t="s">
        <v>926</v>
      </c>
      <c r="E85" s="46">
        <v>0.2</v>
      </c>
      <c r="F85" s="5" t="s">
        <v>1485</v>
      </c>
      <c r="G85" s="44" t="s">
        <v>958</v>
      </c>
      <c r="H85" s="4"/>
      <c r="I85" s="4"/>
    </row>
    <row r="86" spans="1:9" ht="105">
      <c r="A86" s="251"/>
      <c r="B86" s="247"/>
      <c r="C86" s="247"/>
      <c r="D86" s="59" t="s">
        <v>1041</v>
      </c>
      <c r="E86" s="60">
        <v>3.5</v>
      </c>
      <c r="F86" s="5" t="s">
        <v>1485</v>
      </c>
      <c r="G86" s="61" t="s">
        <v>1032</v>
      </c>
      <c r="H86" s="4"/>
      <c r="I86" s="4"/>
    </row>
    <row r="87" spans="1:9" ht="60">
      <c r="A87" s="251"/>
      <c r="B87" s="247"/>
      <c r="C87" s="247"/>
      <c r="D87" s="6" t="s">
        <v>1530</v>
      </c>
      <c r="E87" s="7">
        <v>26</v>
      </c>
      <c r="F87" s="5" t="s">
        <v>1529</v>
      </c>
      <c r="G87" s="172" t="s">
        <v>1521</v>
      </c>
      <c r="H87" s="6">
        <v>25839926.309999999</v>
      </c>
      <c r="I87" s="4">
        <f>H87/1000000</f>
        <v>25.839926309999999</v>
      </c>
    </row>
    <row r="88" spans="1:9" ht="105">
      <c r="A88" s="251"/>
      <c r="B88" s="247"/>
      <c r="C88" s="244" t="s">
        <v>430</v>
      </c>
      <c r="D88" s="35" t="s">
        <v>927</v>
      </c>
      <c r="E88" s="47">
        <v>0.8</v>
      </c>
      <c r="F88" s="5" t="s">
        <v>1485</v>
      </c>
      <c r="G88" s="44" t="s">
        <v>958</v>
      </c>
      <c r="H88" s="4"/>
      <c r="I88" s="4"/>
    </row>
    <row r="89" spans="1:9" ht="45">
      <c r="A89" s="251"/>
      <c r="B89" s="247"/>
      <c r="C89" s="246"/>
      <c r="D89" s="5" t="s">
        <v>1450</v>
      </c>
      <c r="E89" s="9">
        <v>2</v>
      </c>
      <c r="F89" s="5" t="s">
        <v>1205</v>
      </c>
      <c r="G89" s="5" t="s">
        <v>92</v>
      </c>
      <c r="H89" s="4"/>
      <c r="I89" s="4"/>
    </row>
    <row r="90" spans="1:9">
      <c r="A90" s="251"/>
      <c r="B90" s="247"/>
      <c r="C90" s="8" t="s">
        <v>12</v>
      </c>
      <c r="D90" s="8"/>
      <c r="E90" s="86">
        <f>SUM(E81:E89)</f>
        <v>39.5</v>
      </c>
      <c r="F90" s="5"/>
      <c r="G90" s="5"/>
      <c r="H90" s="4"/>
      <c r="I90" s="4"/>
    </row>
    <row r="91" spans="1:9" ht="45">
      <c r="A91" s="251" t="s">
        <v>14</v>
      </c>
      <c r="B91" s="247" t="s">
        <v>245</v>
      </c>
      <c r="C91" s="8" t="s">
        <v>245</v>
      </c>
      <c r="D91" s="5" t="s">
        <v>1439</v>
      </c>
      <c r="E91" s="9">
        <v>9</v>
      </c>
      <c r="F91" s="5" t="s">
        <v>1205</v>
      </c>
      <c r="G91" s="5" t="s">
        <v>92</v>
      </c>
      <c r="H91" s="4"/>
      <c r="I91" s="4"/>
    </row>
    <row r="92" spans="1:9" ht="30">
      <c r="A92" s="251"/>
      <c r="B92" s="247"/>
      <c r="C92" s="247" t="s">
        <v>431</v>
      </c>
      <c r="D92" s="83" t="s">
        <v>1212</v>
      </c>
      <c r="E92" s="9">
        <v>2</v>
      </c>
      <c r="F92" s="5" t="s">
        <v>1418</v>
      </c>
      <c r="G92" s="5" t="s">
        <v>92</v>
      </c>
      <c r="H92" s="4"/>
      <c r="I92" s="4"/>
    </row>
    <row r="93" spans="1:9" ht="30">
      <c r="A93" s="251"/>
      <c r="B93" s="247"/>
      <c r="C93" s="247"/>
      <c r="D93" s="37" t="s">
        <v>1171</v>
      </c>
      <c r="E93" s="5">
        <v>0.15</v>
      </c>
      <c r="F93" s="5" t="s">
        <v>485</v>
      </c>
      <c r="G93" s="5" t="s">
        <v>1503</v>
      </c>
      <c r="H93" s="4"/>
      <c r="I93" s="4"/>
    </row>
    <row r="94" spans="1:9" ht="105">
      <c r="A94" s="251"/>
      <c r="B94" s="247"/>
      <c r="C94" s="247" t="s">
        <v>960</v>
      </c>
      <c r="D94" s="35" t="s">
        <v>923</v>
      </c>
      <c r="E94" s="46">
        <v>0.5</v>
      </c>
      <c r="F94" s="5" t="s">
        <v>1485</v>
      </c>
      <c r="G94" s="44" t="s">
        <v>958</v>
      </c>
      <c r="H94" s="4"/>
      <c r="I94" s="4"/>
    </row>
    <row r="95" spans="1:9" ht="105">
      <c r="A95" s="251"/>
      <c r="B95" s="247"/>
      <c r="C95" s="247"/>
      <c r="D95" s="59" t="s">
        <v>1035</v>
      </c>
      <c r="E95" s="60">
        <v>2</v>
      </c>
      <c r="F95" s="5" t="s">
        <v>1485</v>
      </c>
      <c r="G95" s="61" t="s">
        <v>1032</v>
      </c>
      <c r="H95" s="4"/>
      <c r="I95" s="4"/>
    </row>
    <row r="96" spans="1:9" ht="30">
      <c r="A96" s="251"/>
      <c r="B96" s="247"/>
      <c r="C96" s="247"/>
      <c r="D96" s="83" t="s">
        <v>1211</v>
      </c>
      <c r="E96" s="9">
        <v>2</v>
      </c>
      <c r="F96" s="5" t="s">
        <v>1418</v>
      </c>
      <c r="G96" s="5" t="s">
        <v>92</v>
      </c>
      <c r="H96" s="4"/>
      <c r="I96" s="4"/>
    </row>
    <row r="97" spans="1:9" ht="45">
      <c r="A97" s="251"/>
      <c r="B97" s="247"/>
      <c r="C97" s="247"/>
      <c r="D97" s="75" t="s">
        <v>1349</v>
      </c>
      <c r="E97" s="9">
        <v>0.5</v>
      </c>
      <c r="F97" s="5" t="s">
        <v>1344</v>
      </c>
      <c r="G97" s="5" t="s">
        <v>92</v>
      </c>
      <c r="H97" s="4"/>
      <c r="I97" s="4"/>
    </row>
    <row r="98" spans="1:9" ht="60">
      <c r="A98" s="251"/>
      <c r="B98" s="247"/>
      <c r="C98" s="247"/>
      <c r="D98" s="6" t="s">
        <v>1531</v>
      </c>
      <c r="E98" s="7">
        <v>23</v>
      </c>
      <c r="F98" s="5" t="s">
        <v>1529</v>
      </c>
      <c r="G98" s="172" t="s">
        <v>1521</v>
      </c>
      <c r="H98" s="4"/>
      <c r="I98" s="4"/>
    </row>
    <row r="99" spans="1:9">
      <c r="A99" s="251"/>
      <c r="B99" s="247"/>
      <c r="C99" s="80" t="s">
        <v>12</v>
      </c>
      <c r="D99" s="11"/>
      <c r="E99" s="88">
        <f>SUM(E91:E98)</f>
        <v>39.15</v>
      </c>
      <c r="F99" s="13"/>
      <c r="G99" s="13"/>
      <c r="H99" s="4"/>
      <c r="I99" s="4"/>
    </row>
    <row r="100" spans="1:9">
      <c r="A100" s="1"/>
      <c r="B100" s="1"/>
      <c r="C100" s="8" t="s">
        <v>150</v>
      </c>
      <c r="D100" s="8"/>
      <c r="E100" s="91">
        <f>E99+E90+E80+E74+E61+E46+E28+E17+E24+E68</f>
        <v>1040.3899999999999</v>
      </c>
      <c r="F100" s="1"/>
      <c r="G100" s="1"/>
    </row>
    <row r="101" spans="1:9" ht="75">
      <c r="A101" s="1"/>
      <c r="B101" s="1"/>
      <c r="C101" s="266" t="s">
        <v>660</v>
      </c>
      <c r="D101" s="5" t="s">
        <v>656</v>
      </c>
      <c r="E101" s="9">
        <v>0.8</v>
      </c>
      <c r="F101" s="5" t="s">
        <v>1426</v>
      </c>
      <c r="G101" s="5" t="s">
        <v>657</v>
      </c>
      <c r="H101" s="5" t="s">
        <v>1426</v>
      </c>
      <c r="I101" s="115" t="s">
        <v>1398</v>
      </c>
    </row>
    <row r="102" spans="1:9" ht="75">
      <c r="A102" s="1"/>
      <c r="B102" s="1"/>
      <c r="C102" s="266"/>
      <c r="D102" s="5" t="s">
        <v>661</v>
      </c>
      <c r="E102" s="1">
        <v>0.5</v>
      </c>
      <c r="F102" s="5" t="s">
        <v>1426</v>
      </c>
      <c r="G102" s="5" t="s">
        <v>657</v>
      </c>
      <c r="H102" s="5" t="s">
        <v>1426</v>
      </c>
      <c r="I102" s="115" t="s">
        <v>1398</v>
      </c>
    </row>
    <row r="103" spans="1:9" ht="75">
      <c r="A103" s="1"/>
      <c r="B103" s="1"/>
      <c r="C103" s="266"/>
      <c r="D103" s="5" t="s">
        <v>658</v>
      </c>
      <c r="E103" s="1">
        <v>0.5</v>
      </c>
      <c r="F103" s="5" t="s">
        <v>1426</v>
      </c>
      <c r="G103" s="5" t="s">
        <v>657</v>
      </c>
      <c r="H103" s="5" t="s">
        <v>1426</v>
      </c>
      <c r="I103" s="115" t="s">
        <v>1398</v>
      </c>
    </row>
    <row r="104" spans="1:9" ht="75">
      <c r="A104" s="1"/>
      <c r="B104" s="1"/>
      <c r="C104" s="266"/>
      <c r="D104" s="5" t="s">
        <v>659</v>
      </c>
      <c r="E104" s="1">
        <v>0.1</v>
      </c>
      <c r="F104" s="5" t="s">
        <v>1426</v>
      </c>
      <c r="G104" s="5" t="s">
        <v>657</v>
      </c>
      <c r="H104" s="5" t="s">
        <v>1426</v>
      </c>
      <c r="I104" s="115" t="s">
        <v>1398</v>
      </c>
    </row>
    <row r="105" spans="1:9" ht="31.5">
      <c r="A105" s="1"/>
      <c r="B105" s="1"/>
      <c r="C105" s="168"/>
      <c r="D105" s="5" t="s">
        <v>1540</v>
      </c>
      <c r="E105" s="9">
        <v>7</v>
      </c>
      <c r="F105" s="174" t="s">
        <v>1533</v>
      </c>
      <c r="G105" s="175" t="s">
        <v>1521</v>
      </c>
      <c r="H105" s="122"/>
      <c r="I105" s="114"/>
    </row>
    <row r="106" spans="1:9" ht="47.25">
      <c r="A106" s="1"/>
      <c r="B106" s="1"/>
      <c r="C106" s="185"/>
      <c r="D106" s="188" t="s">
        <v>1587</v>
      </c>
      <c r="E106" s="7">
        <v>0.13</v>
      </c>
      <c r="F106" s="187" t="s">
        <v>1581</v>
      </c>
      <c r="G106" s="78" t="s">
        <v>1556</v>
      </c>
      <c r="H106" s="122"/>
      <c r="I106" s="114"/>
    </row>
    <row r="107" spans="1:9" ht="78.75">
      <c r="A107" s="1"/>
      <c r="B107" s="1"/>
      <c r="C107" s="185"/>
      <c r="D107" s="196" t="s">
        <v>1604</v>
      </c>
      <c r="E107" s="9">
        <v>0.3</v>
      </c>
      <c r="F107" s="196" t="s">
        <v>1605</v>
      </c>
      <c r="G107" s="78" t="s">
        <v>1556</v>
      </c>
      <c r="H107" s="122"/>
      <c r="I107" s="114"/>
    </row>
    <row r="108" spans="1:9" ht="78.75">
      <c r="A108" s="1"/>
      <c r="B108" s="1"/>
      <c r="C108" s="185"/>
      <c r="D108" s="196" t="s">
        <v>1606</v>
      </c>
      <c r="E108" s="9">
        <v>0.1</v>
      </c>
      <c r="F108" s="196" t="s">
        <v>1605</v>
      </c>
      <c r="G108" s="78" t="s">
        <v>1556</v>
      </c>
      <c r="H108" s="122"/>
      <c r="I108" s="114"/>
    </row>
    <row r="109" spans="1:9" ht="47.25">
      <c r="A109" s="1"/>
      <c r="B109" s="1"/>
      <c r="C109" s="185"/>
      <c r="D109" s="195" t="s">
        <v>1612</v>
      </c>
      <c r="E109" s="9">
        <v>1</v>
      </c>
      <c r="F109" s="196" t="s">
        <v>1607</v>
      </c>
      <c r="G109" s="78" t="s">
        <v>1556</v>
      </c>
      <c r="H109" s="122"/>
      <c r="I109" s="114"/>
    </row>
    <row r="110" spans="1:9" ht="47.25">
      <c r="A110" s="1"/>
      <c r="B110" s="1"/>
      <c r="C110" s="185"/>
      <c r="D110" s="124" t="s">
        <v>1628</v>
      </c>
      <c r="E110" s="9">
        <v>0.5</v>
      </c>
      <c r="F110" s="20" t="s">
        <v>1624</v>
      </c>
      <c r="G110" s="42" t="s">
        <v>1556</v>
      </c>
      <c r="H110" s="122"/>
      <c r="I110" s="114"/>
    </row>
    <row r="111" spans="1:9" ht="45">
      <c r="A111" s="1"/>
      <c r="B111" s="1"/>
      <c r="C111" s="186"/>
      <c r="D111" s="124" t="s">
        <v>1631</v>
      </c>
      <c r="E111" s="9">
        <v>1.62</v>
      </c>
      <c r="F111" s="196" t="s">
        <v>1630</v>
      </c>
      <c r="G111" s="42" t="s">
        <v>1556</v>
      </c>
      <c r="H111" s="122"/>
      <c r="I111" s="114"/>
    </row>
    <row r="112" spans="1:9" ht="45">
      <c r="A112" s="1"/>
      <c r="B112" s="1"/>
      <c r="C112" s="186"/>
      <c r="D112" s="124" t="s">
        <v>1634</v>
      </c>
      <c r="E112" s="198">
        <v>12.28</v>
      </c>
      <c r="F112" s="196" t="s">
        <v>1630</v>
      </c>
      <c r="G112" s="42" t="s">
        <v>1556</v>
      </c>
      <c r="H112" s="122"/>
      <c r="I112" s="114"/>
    </row>
    <row r="113" spans="1:9" ht="45">
      <c r="A113" s="1"/>
      <c r="B113" s="1"/>
      <c r="C113" s="186"/>
      <c r="D113" s="124" t="s">
        <v>1642</v>
      </c>
      <c r="E113" s="9">
        <v>15</v>
      </c>
      <c r="F113" s="196" t="s">
        <v>1630</v>
      </c>
      <c r="G113" s="42" t="s">
        <v>1556</v>
      </c>
      <c r="H113" s="122"/>
      <c r="I113" s="114"/>
    </row>
    <row r="114" spans="1:9" ht="45">
      <c r="A114" s="1"/>
      <c r="B114" s="1"/>
      <c r="C114" s="186"/>
      <c r="D114" s="124" t="s">
        <v>1646</v>
      </c>
      <c r="E114" s="199">
        <v>10</v>
      </c>
      <c r="F114" s="200" t="s">
        <v>1630</v>
      </c>
      <c r="G114" s="201" t="s">
        <v>1556</v>
      </c>
      <c r="H114" s="122"/>
      <c r="I114" s="114"/>
    </row>
    <row r="115" spans="1:9" ht="47.25">
      <c r="A115" s="1"/>
      <c r="B115" s="1"/>
      <c r="C115" s="186"/>
      <c r="D115" s="196" t="s">
        <v>1665</v>
      </c>
      <c r="E115" s="9">
        <v>6.45</v>
      </c>
      <c r="F115" s="29" t="s">
        <v>1654</v>
      </c>
      <c r="G115" s="42" t="s">
        <v>1556</v>
      </c>
      <c r="H115" s="122"/>
      <c r="I115" s="114"/>
    </row>
    <row r="116" spans="1:9" ht="45">
      <c r="A116" s="1"/>
      <c r="B116" s="1"/>
      <c r="C116" s="186"/>
      <c r="D116" s="196" t="s">
        <v>1657</v>
      </c>
      <c r="E116" s="9">
        <v>3</v>
      </c>
      <c r="F116" s="29" t="s">
        <v>1654</v>
      </c>
      <c r="G116" s="42" t="s">
        <v>1556</v>
      </c>
      <c r="H116" s="122"/>
      <c r="I116" s="114"/>
    </row>
    <row r="117" spans="1:9" ht="45">
      <c r="A117" s="1"/>
      <c r="B117" s="1"/>
      <c r="C117" s="194"/>
      <c r="D117" s="196" t="s">
        <v>1670</v>
      </c>
      <c r="E117" s="9">
        <v>8</v>
      </c>
      <c r="F117" s="29" t="s">
        <v>1666</v>
      </c>
      <c r="G117" s="42" t="s">
        <v>1556</v>
      </c>
      <c r="H117" s="122"/>
      <c r="I117" s="114"/>
    </row>
    <row r="118" spans="1:9" ht="45">
      <c r="A118" s="1"/>
      <c r="B118" s="1"/>
      <c r="C118" s="194"/>
      <c r="D118" s="196" t="s">
        <v>1862</v>
      </c>
      <c r="E118" s="9">
        <v>5</v>
      </c>
      <c r="F118" s="29" t="s">
        <v>1666</v>
      </c>
      <c r="G118" s="42" t="s">
        <v>1556</v>
      </c>
      <c r="H118" s="122"/>
      <c r="I118" s="114"/>
    </row>
    <row r="119" spans="1:9" ht="45">
      <c r="A119" s="1"/>
      <c r="B119" s="1"/>
      <c r="C119" s="194"/>
      <c r="D119" s="196" t="s">
        <v>1863</v>
      </c>
      <c r="E119" s="9">
        <v>5</v>
      </c>
      <c r="F119" s="29" t="s">
        <v>1666</v>
      </c>
      <c r="G119" s="42" t="s">
        <v>1556</v>
      </c>
      <c r="H119" s="122"/>
      <c r="I119" s="114"/>
    </row>
    <row r="120" spans="1:9" ht="47.25">
      <c r="A120" s="1"/>
      <c r="B120" s="1"/>
      <c r="C120" s="194"/>
      <c r="D120" s="196" t="s">
        <v>1671</v>
      </c>
      <c r="E120" s="9">
        <v>6</v>
      </c>
      <c r="F120" s="29" t="s">
        <v>1666</v>
      </c>
      <c r="G120" s="42" t="s">
        <v>1556</v>
      </c>
      <c r="H120" s="122"/>
      <c r="I120" s="114"/>
    </row>
    <row r="121" spans="1:9" ht="45">
      <c r="A121" s="1"/>
      <c r="B121" s="1"/>
      <c r="C121" s="194"/>
      <c r="D121" s="196" t="s">
        <v>1672</v>
      </c>
      <c r="E121" s="9">
        <v>3</v>
      </c>
      <c r="F121" s="29" t="s">
        <v>1666</v>
      </c>
      <c r="G121" s="42" t="s">
        <v>1556</v>
      </c>
      <c r="H121" s="122"/>
      <c r="I121" s="114"/>
    </row>
    <row r="122" spans="1:9" ht="45">
      <c r="A122" s="1"/>
      <c r="B122" s="1"/>
      <c r="C122" s="194"/>
      <c r="D122" s="196" t="s">
        <v>1674</v>
      </c>
      <c r="E122" s="9">
        <v>8</v>
      </c>
      <c r="F122" s="29" t="s">
        <v>1666</v>
      </c>
      <c r="G122" s="42" t="s">
        <v>1556</v>
      </c>
      <c r="H122" s="122"/>
      <c r="I122" s="114"/>
    </row>
    <row r="123" spans="1:9" ht="60">
      <c r="A123" s="1"/>
      <c r="B123" s="1"/>
      <c r="C123" s="194"/>
      <c r="D123" s="202" t="s">
        <v>1713</v>
      </c>
      <c r="E123" s="9">
        <v>3.62</v>
      </c>
      <c r="F123" s="5" t="s">
        <v>1703</v>
      </c>
      <c r="G123" s="42" t="s">
        <v>1556</v>
      </c>
      <c r="H123" s="122"/>
      <c r="I123" s="114"/>
    </row>
    <row r="124" spans="1:9" ht="60">
      <c r="A124" s="1"/>
      <c r="B124" s="1"/>
      <c r="C124" s="194"/>
      <c r="D124" s="202" t="s">
        <v>1714</v>
      </c>
      <c r="E124" s="9">
        <v>0.85</v>
      </c>
      <c r="F124" s="5" t="s">
        <v>1703</v>
      </c>
      <c r="G124" s="42" t="s">
        <v>1556</v>
      </c>
      <c r="H124" s="122"/>
      <c r="I124" s="114"/>
    </row>
    <row r="125" spans="1:9" ht="60">
      <c r="A125" s="1"/>
      <c r="B125" s="1"/>
      <c r="C125" s="194"/>
      <c r="D125" s="202" t="s">
        <v>1717</v>
      </c>
      <c r="E125" s="9">
        <v>1.42</v>
      </c>
      <c r="F125" s="5" t="s">
        <v>1703</v>
      </c>
      <c r="G125" s="42" t="s">
        <v>1556</v>
      </c>
      <c r="H125" s="122"/>
      <c r="I125" s="114"/>
    </row>
    <row r="126" spans="1:9" ht="60">
      <c r="A126" s="1"/>
      <c r="B126" s="1"/>
      <c r="C126" s="194"/>
      <c r="D126" s="202" t="s">
        <v>1734</v>
      </c>
      <c r="E126" s="9">
        <v>8.86</v>
      </c>
      <c r="F126" s="5" t="s">
        <v>1703</v>
      </c>
      <c r="G126" s="42" t="s">
        <v>1556</v>
      </c>
      <c r="H126" s="122"/>
      <c r="I126" s="114"/>
    </row>
    <row r="127" spans="1:9" ht="60">
      <c r="A127" s="1"/>
      <c r="B127" s="1"/>
      <c r="C127" s="194"/>
      <c r="D127" s="202" t="s">
        <v>1761</v>
      </c>
      <c r="E127" s="9">
        <v>2</v>
      </c>
      <c r="F127" s="5" t="s">
        <v>1703</v>
      </c>
      <c r="G127" s="42" t="s">
        <v>1556</v>
      </c>
      <c r="H127" s="122"/>
      <c r="I127" s="114"/>
    </row>
    <row r="128" spans="1:9" ht="60">
      <c r="A128" s="1"/>
      <c r="B128" s="1"/>
      <c r="C128" s="194"/>
      <c r="D128" s="202" t="s">
        <v>1765</v>
      </c>
      <c r="E128" s="9">
        <v>1.5</v>
      </c>
      <c r="F128" s="5" t="s">
        <v>1703</v>
      </c>
      <c r="G128" s="42" t="s">
        <v>1556</v>
      </c>
      <c r="H128" s="122"/>
      <c r="I128" s="114"/>
    </row>
    <row r="129" spans="1:9" ht="60">
      <c r="A129" s="1"/>
      <c r="B129" s="1"/>
      <c r="C129" s="194"/>
      <c r="D129" s="202" t="s">
        <v>1784</v>
      </c>
      <c r="E129" s="9">
        <v>3.5</v>
      </c>
      <c r="F129" s="5" t="s">
        <v>1703</v>
      </c>
      <c r="G129" s="42" t="s">
        <v>1556</v>
      </c>
      <c r="H129" s="122"/>
      <c r="I129" s="114"/>
    </row>
    <row r="130" spans="1:9" ht="60">
      <c r="A130" s="1"/>
      <c r="B130" s="1"/>
      <c r="C130" s="194"/>
      <c r="D130" s="202" t="s">
        <v>1800</v>
      </c>
      <c r="E130" s="9">
        <v>4</v>
      </c>
      <c r="F130" s="5" t="s">
        <v>1703</v>
      </c>
      <c r="G130" s="42" t="s">
        <v>1556</v>
      </c>
      <c r="H130" s="122"/>
      <c r="I130" s="114"/>
    </row>
    <row r="131" spans="1:9" ht="60">
      <c r="A131" s="1"/>
      <c r="B131" s="1"/>
      <c r="C131" s="194"/>
      <c r="D131" s="202" t="s">
        <v>1816</v>
      </c>
      <c r="E131" s="9">
        <v>5</v>
      </c>
      <c r="F131" s="5" t="s">
        <v>1703</v>
      </c>
      <c r="G131" s="42" t="s">
        <v>1556</v>
      </c>
      <c r="H131" s="122"/>
      <c r="I131" s="114"/>
    </row>
    <row r="132" spans="1:9" ht="60">
      <c r="A132" s="1"/>
      <c r="B132" s="1"/>
      <c r="C132" s="194"/>
      <c r="D132" s="202" t="s">
        <v>1818</v>
      </c>
      <c r="E132" s="9">
        <v>1</v>
      </c>
      <c r="F132" s="5" t="s">
        <v>1703</v>
      </c>
      <c r="G132" s="42" t="s">
        <v>1556</v>
      </c>
      <c r="H132" s="122"/>
      <c r="I132" s="114"/>
    </row>
    <row r="133" spans="1:9" ht="60">
      <c r="A133" s="1"/>
      <c r="B133" s="1"/>
      <c r="C133" s="194"/>
      <c r="D133" s="202" t="s">
        <v>1821</v>
      </c>
      <c r="E133" s="9">
        <v>3</v>
      </c>
      <c r="F133" s="5" t="s">
        <v>1703</v>
      </c>
      <c r="G133" s="42" t="s">
        <v>1556</v>
      </c>
      <c r="H133" s="122"/>
      <c r="I133" s="114"/>
    </row>
    <row r="134" spans="1:9" ht="60">
      <c r="A134" s="1"/>
      <c r="B134" s="1"/>
      <c r="C134" s="194"/>
      <c r="D134" s="202" t="s">
        <v>1824</v>
      </c>
      <c r="E134" s="9">
        <v>1.5</v>
      </c>
      <c r="F134" s="5" t="s">
        <v>1703</v>
      </c>
      <c r="G134" s="42" t="s">
        <v>1556</v>
      </c>
      <c r="H134" s="122"/>
      <c r="I134" s="114"/>
    </row>
    <row r="135" spans="1:9" ht="60">
      <c r="A135" s="1"/>
      <c r="B135" s="1"/>
      <c r="C135" s="194"/>
      <c r="D135" s="202" t="s">
        <v>1837</v>
      </c>
      <c r="E135" s="9">
        <v>3</v>
      </c>
      <c r="F135" s="5" t="s">
        <v>1703</v>
      </c>
      <c r="G135" s="42" t="s">
        <v>1556</v>
      </c>
      <c r="H135" s="122"/>
      <c r="I135" s="114"/>
    </row>
    <row r="136" spans="1:9" ht="45">
      <c r="A136" s="1"/>
      <c r="B136" s="1"/>
      <c r="C136" s="194"/>
      <c r="D136" s="5" t="s">
        <v>1885</v>
      </c>
      <c r="E136" s="9">
        <v>1.5</v>
      </c>
      <c r="F136" s="5" t="s">
        <v>1883</v>
      </c>
      <c r="G136" s="42" t="s">
        <v>1556</v>
      </c>
      <c r="H136" s="122"/>
      <c r="I136" s="114"/>
    </row>
    <row r="137" spans="1:9" ht="45">
      <c r="A137" s="1"/>
      <c r="B137" s="1"/>
      <c r="C137" s="194"/>
      <c r="D137" s="5" t="s">
        <v>1891</v>
      </c>
      <c r="E137" s="9">
        <v>0.5</v>
      </c>
      <c r="F137" s="5" t="s">
        <v>1883</v>
      </c>
      <c r="G137" s="42" t="s">
        <v>1556</v>
      </c>
      <c r="H137" s="122"/>
      <c r="I137" s="114"/>
    </row>
    <row r="138" spans="1:9" ht="15" customHeight="1">
      <c r="A138" s="1"/>
      <c r="B138" s="1"/>
      <c r="C138" s="269" t="s">
        <v>1927</v>
      </c>
      <c r="D138" s="207" t="s">
        <v>1908</v>
      </c>
      <c r="E138" s="9">
        <v>30.6</v>
      </c>
      <c r="F138" s="237" t="s">
        <v>1919</v>
      </c>
      <c r="G138" s="234" t="s">
        <v>1504</v>
      </c>
      <c r="H138" s="122"/>
      <c r="I138" s="114"/>
    </row>
    <row r="139" spans="1:9">
      <c r="A139" s="1"/>
      <c r="B139" s="1"/>
      <c r="C139" s="269"/>
      <c r="D139" s="207" t="s">
        <v>1896</v>
      </c>
      <c r="E139" s="9">
        <v>14.3</v>
      </c>
      <c r="F139" s="270"/>
      <c r="G139" s="235"/>
      <c r="H139" s="122"/>
      <c r="I139" s="114"/>
    </row>
    <row r="140" spans="1:9">
      <c r="A140" s="1"/>
      <c r="B140" s="1"/>
      <c r="C140" s="269"/>
      <c r="D140" s="207" t="s">
        <v>1909</v>
      </c>
      <c r="E140" s="9">
        <v>14.6</v>
      </c>
      <c r="F140" s="270"/>
      <c r="G140" s="235"/>
      <c r="H140" s="122"/>
      <c r="I140" s="114"/>
    </row>
    <row r="141" spans="1:9" ht="30">
      <c r="A141" s="1"/>
      <c r="B141" s="1"/>
      <c r="C141" s="269"/>
      <c r="D141" s="207" t="s">
        <v>1910</v>
      </c>
      <c r="E141" s="260">
        <v>35</v>
      </c>
      <c r="F141" s="270"/>
      <c r="G141" s="235"/>
      <c r="H141" s="122"/>
      <c r="I141" s="114"/>
    </row>
    <row r="142" spans="1:9" ht="30">
      <c r="A142" s="1"/>
      <c r="B142" s="1"/>
      <c r="C142" s="269"/>
      <c r="D142" s="207" t="s">
        <v>1911</v>
      </c>
      <c r="E142" s="262"/>
      <c r="F142" s="238"/>
      <c r="G142" s="235"/>
      <c r="H142" s="122"/>
      <c r="I142" s="114"/>
    </row>
    <row r="143" spans="1:9" ht="60">
      <c r="A143" s="1"/>
      <c r="B143" s="1"/>
      <c r="C143" s="269"/>
      <c r="D143" s="76" t="s">
        <v>1912</v>
      </c>
      <c r="E143" s="9">
        <v>500</v>
      </c>
      <c r="F143" s="215" t="s">
        <v>1924</v>
      </c>
      <c r="G143" s="235"/>
      <c r="H143" s="122"/>
      <c r="I143" s="114"/>
    </row>
    <row r="144" spans="1:9">
      <c r="A144" s="1"/>
      <c r="B144" s="1"/>
      <c r="C144" s="1" t="s">
        <v>12</v>
      </c>
      <c r="D144" s="5"/>
      <c r="E144" s="1">
        <f>SUM(E101:E143)</f>
        <v>730.03</v>
      </c>
      <c r="F144" s="1"/>
      <c r="G144" s="1"/>
    </row>
    <row r="145" spans="1:7">
      <c r="A145" s="1"/>
      <c r="B145" s="1"/>
      <c r="C145" s="1" t="s">
        <v>150</v>
      </c>
      <c r="D145" s="5"/>
      <c r="E145" s="91">
        <f>E144+E99+E90+E80+E74+E68+E61+E46+E28+E24+E17</f>
        <v>1770.4199999999998</v>
      </c>
      <c r="F145" s="9"/>
      <c r="G145" s="1"/>
    </row>
    <row r="146" spans="1:7" ht="15.75">
      <c r="F146" s="182"/>
      <c r="G146" s="175"/>
    </row>
  </sheetData>
  <autoFilter ref="C1:C147"/>
  <mergeCells count="48">
    <mergeCell ref="C26:C27"/>
    <mergeCell ref="C29:C32"/>
    <mergeCell ref="C44:C45"/>
    <mergeCell ref="C101:C104"/>
    <mergeCell ref="C33:C40"/>
    <mergeCell ref="C69:C72"/>
    <mergeCell ref="C75:C76"/>
    <mergeCell ref="C54:C60"/>
    <mergeCell ref="C62:C67"/>
    <mergeCell ref="C41:C43"/>
    <mergeCell ref="C94:C98"/>
    <mergeCell ref="C92:C93"/>
    <mergeCell ref="C77:C79"/>
    <mergeCell ref="C47:C53"/>
    <mergeCell ref="C81:C82"/>
    <mergeCell ref="C88:C89"/>
    <mergeCell ref="A1:G1"/>
    <mergeCell ref="A2:G2"/>
    <mergeCell ref="A4:A17"/>
    <mergeCell ref="B4:B17"/>
    <mergeCell ref="A18:A24"/>
    <mergeCell ref="B18:B24"/>
    <mergeCell ref="C4:C8"/>
    <mergeCell ref="C9:C11"/>
    <mergeCell ref="C18:C20"/>
    <mergeCell ref="C22:C23"/>
    <mergeCell ref="C12:C16"/>
    <mergeCell ref="A25:A28"/>
    <mergeCell ref="B25:B28"/>
    <mergeCell ref="A29:A46"/>
    <mergeCell ref="B29:B46"/>
    <mergeCell ref="A47:A61"/>
    <mergeCell ref="B47:B61"/>
    <mergeCell ref="A62:A68"/>
    <mergeCell ref="B62:B68"/>
    <mergeCell ref="A69:A74"/>
    <mergeCell ref="B69:B74"/>
    <mergeCell ref="A76:A80"/>
    <mergeCell ref="B75:B80"/>
    <mergeCell ref="C138:C143"/>
    <mergeCell ref="G138:G143"/>
    <mergeCell ref="F138:F142"/>
    <mergeCell ref="E141:E142"/>
    <mergeCell ref="A81:A90"/>
    <mergeCell ref="B81:B90"/>
    <mergeCell ref="A91:A99"/>
    <mergeCell ref="B91:B99"/>
    <mergeCell ref="C84:C87"/>
  </mergeCells>
  <pageMargins left="0.7" right="0.3" top="0.36" bottom="0.55000000000000004" header="0.3" footer="0.3"/>
  <pageSetup paperSize="9"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90"/>
  <sheetViews>
    <sheetView topLeftCell="A169" workbookViewId="0">
      <selection activeCell="D180" sqref="D180"/>
    </sheetView>
  </sheetViews>
  <sheetFormatPr defaultRowHeight="15"/>
  <cols>
    <col min="1" max="1" width="6.28515625" customWidth="1"/>
    <col min="2" max="3" width="14.5703125" customWidth="1"/>
    <col min="4" max="4" width="44.7109375" customWidth="1"/>
    <col min="5" max="5" width="9.28515625" customWidth="1"/>
    <col min="6" max="6" width="26.28515625" style="6" customWidth="1"/>
    <col min="7" max="7" width="19.85546875" customWidth="1"/>
    <col min="8" max="8" width="31.85546875" customWidth="1"/>
    <col min="9" max="9" width="15.28515625" customWidth="1"/>
  </cols>
  <sheetData>
    <row r="1" spans="1:9" ht="21">
      <c r="A1" s="255" t="s">
        <v>55</v>
      </c>
      <c r="B1" s="256"/>
      <c r="C1" s="256"/>
      <c r="D1" s="256"/>
      <c r="E1" s="256"/>
      <c r="F1" s="256"/>
      <c r="G1" s="256"/>
    </row>
    <row r="2" spans="1:9" ht="15.75">
      <c r="A2" s="257" t="s">
        <v>261</v>
      </c>
      <c r="B2" s="257"/>
      <c r="C2" s="257"/>
      <c r="D2" s="257"/>
      <c r="E2" s="257"/>
      <c r="F2" s="257"/>
      <c r="G2" s="257"/>
    </row>
    <row r="3" spans="1:9" s="7" customFormat="1" ht="30" customHeight="1">
      <c r="A3" s="3" t="s">
        <v>0</v>
      </c>
      <c r="B3" s="3" t="s">
        <v>10</v>
      </c>
      <c r="C3" s="3" t="s">
        <v>11</v>
      </c>
      <c r="D3" s="3" t="s">
        <v>54</v>
      </c>
      <c r="E3" s="3" t="s">
        <v>59</v>
      </c>
      <c r="F3" s="3" t="s">
        <v>1473</v>
      </c>
      <c r="G3" s="3" t="s">
        <v>57</v>
      </c>
      <c r="H3" s="6"/>
    </row>
    <row r="4" spans="1:9" s="7" customFormat="1" ht="75.75" customHeight="1">
      <c r="A4" s="251" t="s">
        <v>1</v>
      </c>
      <c r="B4" s="247" t="s">
        <v>262</v>
      </c>
      <c r="C4" s="247" t="s">
        <v>262</v>
      </c>
      <c r="D4" s="226" t="s">
        <v>480</v>
      </c>
      <c r="E4" s="26">
        <v>1</v>
      </c>
      <c r="F4" s="225" t="s">
        <v>1485</v>
      </c>
      <c r="G4" s="44" t="s">
        <v>1505</v>
      </c>
      <c r="H4" s="6"/>
    </row>
    <row r="5" spans="1:9" s="7" customFormat="1" ht="30" customHeight="1">
      <c r="A5" s="251"/>
      <c r="B5" s="247"/>
      <c r="C5" s="247"/>
      <c r="D5" s="8" t="s">
        <v>470</v>
      </c>
      <c r="E5" s="225">
        <v>0.8</v>
      </c>
      <c r="F5" s="225" t="s">
        <v>485</v>
      </c>
      <c r="G5" s="225" t="s">
        <v>1117</v>
      </c>
      <c r="H5" s="6"/>
    </row>
    <row r="6" spans="1:9" ht="35.25" customHeight="1">
      <c r="A6" s="251"/>
      <c r="B6" s="247"/>
      <c r="C6" s="247"/>
      <c r="D6" s="225" t="s">
        <v>1292</v>
      </c>
      <c r="E6" s="9">
        <v>2</v>
      </c>
      <c r="F6" s="225" t="s">
        <v>1418</v>
      </c>
      <c r="G6" s="13" t="s">
        <v>92</v>
      </c>
      <c r="H6" s="4"/>
    </row>
    <row r="7" spans="1:9" ht="35.25" customHeight="1">
      <c r="A7" s="251"/>
      <c r="B7" s="247"/>
      <c r="C7" s="247" t="s">
        <v>434</v>
      </c>
      <c r="D7" s="8" t="s">
        <v>473</v>
      </c>
      <c r="E7" s="225">
        <v>0.04</v>
      </c>
      <c r="F7" s="225" t="s">
        <v>1116</v>
      </c>
      <c r="G7" s="61" t="s">
        <v>1503</v>
      </c>
      <c r="H7" s="4"/>
    </row>
    <row r="8" spans="1:9" ht="72" customHeight="1">
      <c r="A8" s="251"/>
      <c r="B8" s="247"/>
      <c r="C8" s="247"/>
      <c r="D8" s="8" t="s">
        <v>780</v>
      </c>
      <c r="E8" s="225">
        <v>2</v>
      </c>
      <c r="F8" s="225" t="s">
        <v>1426</v>
      </c>
      <c r="G8" s="225" t="s">
        <v>484</v>
      </c>
      <c r="H8" s="5" t="s">
        <v>1426</v>
      </c>
      <c r="I8" s="115" t="s">
        <v>1398</v>
      </c>
    </row>
    <row r="9" spans="1:9" ht="68.25" customHeight="1">
      <c r="A9" s="251"/>
      <c r="B9" s="247"/>
      <c r="C9" s="247"/>
      <c r="D9" s="8" t="s">
        <v>774</v>
      </c>
      <c r="E9" s="225">
        <v>2</v>
      </c>
      <c r="F9" s="225" t="s">
        <v>1403</v>
      </c>
      <c r="G9" s="225" t="s">
        <v>1479</v>
      </c>
      <c r="H9" s="4" t="s">
        <v>1403</v>
      </c>
      <c r="I9" s="7" t="s">
        <v>1398</v>
      </c>
    </row>
    <row r="10" spans="1:9" ht="46.5" customHeight="1">
      <c r="A10" s="251"/>
      <c r="B10" s="247"/>
      <c r="C10" s="247"/>
      <c r="D10" s="225" t="s">
        <v>1371</v>
      </c>
      <c r="E10" s="9">
        <v>0.6</v>
      </c>
      <c r="F10" s="225" t="s">
        <v>1344</v>
      </c>
      <c r="G10" s="13" t="s">
        <v>92</v>
      </c>
      <c r="H10" s="4"/>
    </row>
    <row r="11" spans="1:9" ht="75.75" customHeight="1">
      <c r="A11" s="251"/>
      <c r="B11" s="247"/>
      <c r="C11" s="247"/>
      <c r="D11" s="225" t="s">
        <v>435</v>
      </c>
      <c r="E11" s="9">
        <v>2</v>
      </c>
      <c r="F11" s="225" t="s">
        <v>1485</v>
      </c>
      <c r="G11" s="44" t="s">
        <v>958</v>
      </c>
      <c r="H11" s="4"/>
    </row>
    <row r="12" spans="1:9" ht="55.5" customHeight="1">
      <c r="A12" s="251"/>
      <c r="B12" s="247"/>
      <c r="C12" s="8" t="s">
        <v>454</v>
      </c>
      <c r="D12" s="225" t="s">
        <v>1321</v>
      </c>
      <c r="E12" s="32">
        <v>7</v>
      </c>
      <c r="F12" s="225" t="s">
        <v>1205</v>
      </c>
      <c r="G12" s="29" t="s">
        <v>702</v>
      </c>
      <c r="H12" s="5" t="s">
        <v>1205</v>
      </c>
    </row>
    <row r="13" spans="1:9" ht="17.25" customHeight="1">
      <c r="A13" s="251"/>
      <c r="B13" s="247"/>
      <c r="C13" s="8" t="s">
        <v>12</v>
      </c>
      <c r="D13" s="8"/>
      <c r="E13" s="225">
        <f>SUM(E4:E12)</f>
        <v>17.439999999999998</v>
      </c>
      <c r="F13" s="225"/>
      <c r="G13" s="225"/>
      <c r="H13" s="4"/>
    </row>
    <row r="14" spans="1:9" ht="75">
      <c r="A14" s="251" t="s">
        <v>2</v>
      </c>
      <c r="B14" s="247" t="s">
        <v>263</v>
      </c>
      <c r="C14" s="247" t="s">
        <v>263</v>
      </c>
      <c r="D14" s="8" t="s">
        <v>467</v>
      </c>
      <c r="E14" s="225">
        <v>1</v>
      </c>
      <c r="F14" s="225" t="s">
        <v>1485</v>
      </c>
      <c r="G14" s="225" t="s">
        <v>1499</v>
      </c>
      <c r="H14" s="4"/>
    </row>
    <row r="15" spans="1:9" ht="55.5" customHeight="1">
      <c r="A15" s="251"/>
      <c r="B15" s="247"/>
      <c r="C15" s="247"/>
      <c r="D15" s="8" t="s">
        <v>832</v>
      </c>
      <c r="E15" s="225">
        <v>3</v>
      </c>
      <c r="F15" s="225" t="s">
        <v>1401</v>
      </c>
      <c r="G15" s="225" t="s">
        <v>494</v>
      </c>
      <c r="H15" s="6" t="s">
        <v>1397</v>
      </c>
      <c r="I15" s="6" t="s">
        <v>1398</v>
      </c>
    </row>
    <row r="16" spans="1:9" ht="45">
      <c r="A16" s="251"/>
      <c r="B16" s="247"/>
      <c r="C16" s="247"/>
      <c r="D16" s="225" t="s">
        <v>1417</v>
      </c>
      <c r="E16" s="9">
        <v>0.6</v>
      </c>
      <c r="F16" s="225" t="s">
        <v>1344</v>
      </c>
      <c r="G16" s="13" t="s">
        <v>92</v>
      </c>
      <c r="H16" s="4"/>
    </row>
    <row r="17" spans="1:9" ht="30">
      <c r="A17" s="251"/>
      <c r="B17" s="247"/>
      <c r="C17" s="247"/>
      <c r="D17" s="225" t="s">
        <v>1286</v>
      </c>
      <c r="E17" s="9">
        <v>2</v>
      </c>
      <c r="F17" s="225" t="s">
        <v>1418</v>
      </c>
      <c r="G17" s="13" t="s">
        <v>92</v>
      </c>
      <c r="H17" s="4"/>
    </row>
    <row r="18" spans="1:9" ht="45">
      <c r="A18" s="251"/>
      <c r="B18" s="247"/>
      <c r="C18" s="247"/>
      <c r="D18" s="225" t="s">
        <v>705</v>
      </c>
      <c r="E18" s="32">
        <v>10</v>
      </c>
      <c r="F18" s="225" t="s">
        <v>1205</v>
      </c>
      <c r="G18" s="29" t="s">
        <v>702</v>
      </c>
      <c r="H18" s="5" t="s">
        <v>1205</v>
      </c>
    </row>
    <row r="19" spans="1:9" ht="47.25">
      <c r="A19" s="251"/>
      <c r="B19" s="247"/>
      <c r="C19" s="247"/>
      <c r="D19" s="29" t="s">
        <v>1572</v>
      </c>
      <c r="E19" s="9">
        <v>6</v>
      </c>
      <c r="F19" s="78" t="s">
        <v>1571</v>
      </c>
      <c r="G19" s="78" t="s">
        <v>1556</v>
      </c>
    </row>
    <row r="20" spans="1:9" ht="75">
      <c r="A20" s="251"/>
      <c r="B20" s="247"/>
      <c r="C20" s="247" t="s">
        <v>437</v>
      </c>
      <c r="D20" s="225" t="s">
        <v>438</v>
      </c>
      <c r="E20" s="9">
        <v>2</v>
      </c>
      <c r="F20" s="225" t="s">
        <v>1485</v>
      </c>
      <c r="G20" s="44" t="s">
        <v>958</v>
      </c>
      <c r="H20" s="4"/>
    </row>
    <row r="21" spans="1:9" ht="75">
      <c r="A21" s="251"/>
      <c r="B21" s="247"/>
      <c r="C21" s="247"/>
      <c r="D21" s="225" t="s">
        <v>452</v>
      </c>
      <c r="E21" s="9">
        <v>1</v>
      </c>
      <c r="F21" s="225" t="s">
        <v>1485</v>
      </c>
      <c r="G21" s="225" t="s">
        <v>1499</v>
      </c>
      <c r="H21" s="4"/>
    </row>
    <row r="22" spans="1:9" ht="75">
      <c r="A22" s="251"/>
      <c r="B22" s="247"/>
      <c r="C22" s="247"/>
      <c r="D22" s="225" t="s">
        <v>441</v>
      </c>
      <c r="E22" s="9">
        <v>0.5</v>
      </c>
      <c r="F22" s="225" t="s">
        <v>1485</v>
      </c>
      <c r="G22" s="44" t="s">
        <v>958</v>
      </c>
      <c r="H22" s="4"/>
    </row>
    <row r="23" spans="1:9" ht="45">
      <c r="A23" s="251"/>
      <c r="B23" s="247"/>
      <c r="C23" s="247"/>
      <c r="D23" s="225" t="s">
        <v>1370</v>
      </c>
      <c r="E23" s="9">
        <v>0.6</v>
      </c>
      <c r="F23" s="225" t="s">
        <v>1344</v>
      </c>
      <c r="G23" s="13" t="s">
        <v>92</v>
      </c>
      <c r="H23" s="4"/>
    </row>
    <row r="24" spans="1:9">
      <c r="A24" s="251"/>
      <c r="B24" s="247"/>
      <c r="C24" s="8" t="s">
        <v>12</v>
      </c>
      <c r="D24" s="8"/>
      <c r="E24" s="225">
        <f>SUM(E14:E23)</f>
        <v>26.700000000000003</v>
      </c>
      <c r="F24" s="225"/>
      <c r="G24" s="225"/>
      <c r="H24" s="4"/>
    </row>
    <row r="25" spans="1:9" ht="60">
      <c r="A25" s="251" t="s">
        <v>3</v>
      </c>
      <c r="B25" s="268" t="s">
        <v>264</v>
      </c>
      <c r="C25" s="247" t="s">
        <v>264</v>
      </c>
      <c r="D25" s="8" t="s">
        <v>491</v>
      </c>
      <c r="E25" s="225">
        <v>7</v>
      </c>
      <c r="F25" s="225" t="s">
        <v>1426</v>
      </c>
      <c r="G25" s="225" t="s">
        <v>484</v>
      </c>
      <c r="H25" s="5" t="s">
        <v>1426</v>
      </c>
      <c r="I25" s="115" t="s">
        <v>1398</v>
      </c>
    </row>
    <row r="26" spans="1:9" ht="60">
      <c r="A26" s="251"/>
      <c r="B26" s="268"/>
      <c r="C26" s="247"/>
      <c r="D26" s="8" t="s">
        <v>481</v>
      </c>
      <c r="E26" s="225">
        <v>4</v>
      </c>
      <c r="F26" s="225" t="s">
        <v>1426</v>
      </c>
      <c r="G26" s="225" t="s">
        <v>626</v>
      </c>
      <c r="H26" s="5" t="s">
        <v>1426</v>
      </c>
      <c r="I26" s="115" t="s">
        <v>1398</v>
      </c>
    </row>
    <row r="27" spans="1:9" ht="60">
      <c r="A27" s="251"/>
      <c r="B27" s="268"/>
      <c r="C27" s="247"/>
      <c r="D27" s="8" t="s">
        <v>482</v>
      </c>
      <c r="E27" s="225">
        <v>4</v>
      </c>
      <c r="F27" s="225" t="s">
        <v>1426</v>
      </c>
      <c r="G27" s="225" t="s">
        <v>626</v>
      </c>
      <c r="H27" s="5" t="s">
        <v>1426</v>
      </c>
      <c r="I27" s="115" t="s">
        <v>1398</v>
      </c>
    </row>
    <row r="28" spans="1:9" ht="30">
      <c r="A28" s="251"/>
      <c r="B28" s="268"/>
      <c r="C28" s="247"/>
      <c r="D28" s="8" t="s">
        <v>479</v>
      </c>
      <c r="E28" s="225">
        <v>0.3</v>
      </c>
      <c r="F28" s="225" t="s">
        <v>485</v>
      </c>
      <c r="G28" s="225" t="s">
        <v>1503</v>
      </c>
      <c r="H28" s="4"/>
    </row>
    <row r="29" spans="1:9" ht="75">
      <c r="A29" s="251"/>
      <c r="B29" s="268"/>
      <c r="C29" s="247"/>
      <c r="D29" s="8" t="s">
        <v>442</v>
      </c>
      <c r="E29" s="225">
        <v>0.5</v>
      </c>
      <c r="F29" s="225" t="s">
        <v>1485</v>
      </c>
      <c r="G29" s="44" t="s">
        <v>958</v>
      </c>
      <c r="H29" s="24"/>
    </row>
    <row r="30" spans="1:9" ht="75">
      <c r="A30" s="251"/>
      <c r="B30" s="268"/>
      <c r="C30" s="247"/>
      <c r="D30" s="8" t="s">
        <v>987</v>
      </c>
      <c r="E30" s="225">
        <v>1</v>
      </c>
      <c r="F30" s="225" t="s">
        <v>1485</v>
      </c>
      <c r="G30" s="225" t="s">
        <v>1499</v>
      </c>
      <c r="H30" s="24"/>
    </row>
    <row r="31" spans="1:9" ht="30">
      <c r="A31" s="251"/>
      <c r="B31" s="268"/>
      <c r="C31" s="247"/>
      <c r="D31" s="225" t="s">
        <v>1285</v>
      </c>
      <c r="E31" s="9">
        <v>2</v>
      </c>
      <c r="F31" s="225" t="s">
        <v>1418</v>
      </c>
      <c r="G31" s="13" t="s">
        <v>92</v>
      </c>
      <c r="H31" s="24"/>
    </row>
    <row r="32" spans="1:9" ht="75">
      <c r="A32" s="251"/>
      <c r="B32" s="268"/>
      <c r="C32" s="247"/>
      <c r="D32" s="8" t="s">
        <v>445</v>
      </c>
      <c r="E32" s="225">
        <v>1</v>
      </c>
      <c r="F32" s="225" t="s">
        <v>1485</v>
      </c>
      <c r="G32" s="225" t="s">
        <v>1499</v>
      </c>
      <c r="H32" s="24"/>
    </row>
    <row r="33" spans="1:9" ht="75">
      <c r="A33" s="251"/>
      <c r="B33" s="268"/>
      <c r="C33" s="247" t="s">
        <v>440</v>
      </c>
      <c r="D33" s="8" t="s">
        <v>463</v>
      </c>
      <c r="E33" s="26">
        <v>5</v>
      </c>
      <c r="F33" s="225" t="s">
        <v>1485</v>
      </c>
      <c r="G33" s="225" t="s">
        <v>1499</v>
      </c>
      <c r="H33" s="24"/>
    </row>
    <row r="34" spans="1:9" ht="75">
      <c r="A34" s="251"/>
      <c r="B34" s="268"/>
      <c r="C34" s="247"/>
      <c r="D34" s="8" t="s">
        <v>465</v>
      </c>
      <c r="E34" s="26">
        <v>1</v>
      </c>
      <c r="F34" s="225" t="s">
        <v>1485</v>
      </c>
      <c r="G34" s="225" t="s">
        <v>1499</v>
      </c>
      <c r="H34" s="24"/>
    </row>
    <row r="35" spans="1:9" ht="75">
      <c r="A35" s="251"/>
      <c r="B35" s="268"/>
      <c r="C35" s="247"/>
      <c r="D35" s="225" t="s">
        <v>464</v>
      </c>
      <c r="E35" s="9">
        <v>2</v>
      </c>
      <c r="F35" s="225" t="s">
        <v>1485</v>
      </c>
      <c r="G35" s="44" t="s">
        <v>958</v>
      </c>
      <c r="H35" s="4"/>
    </row>
    <row r="36" spans="1:9" ht="30">
      <c r="A36" s="251"/>
      <c r="B36" s="268"/>
      <c r="C36" s="247"/>
      <c r="D36" s="59" t="s">
        <v>988</v>
      </c>
      <c r="E36" s="60">
        <v>5</v>
      </c>
      <c r="F36" s="225" t="s">
        <v>986</v>
      </c>
      <c r="G36" s="61" t="s">
        <v>989</v>
      </c>
      <c r="H36" s="4"/>
    </row>
    <row r="37" spans="1:9" ht="30">
      <c r="A37" s="251"/>
      <c r="B37" s="268"/>
      <c r="C37" s="247"/>
      <c r="D37" s="225" t="s">
        <v>1373</v>
      </c>
      <c r="E37" s="9">
        <v>0.6</v>
      </c>
      <c r="F37" s="225" t="s">
        <v>1344</v>
      </c>
      <c r="G37" s="13" t="s">
        <v>92</v>
      </c>
      <c r="H37" s="4"/>
    </row>
    <row r="38" spans="1:9" ht="45">
      <c r="A38" s="251"/>
      <c r="B38" s="268"/>
      <c r="C38" s="247"/>
      <c r="D38" s="225" t="s">
        <v>706</v>
      </c>
      <c r="E38" s="32">
        <v>12</v>
      </c>
      <c r="F38" s="225" t="s">
        <v>1205</v>
      </c>
      <c r="G38" s="29" t="s">
        <v>702</v>
      </c>
      <c r="H38" s="5" t="s">
        <v>1205</v>
      </c>
    </row>
    <row r="39" spans="1:9" ht="45">
      <c r="A39" s="251"/>
      <c r="B39" s="268"/>
      <c r="C39" s="247"/>
      <c r="D39" s="225" t="s">
        <v>1438</v>
      </c>
      <c r="E39" s="32">
        <v>5</v>
      </c>
      <c r="F39" s="225" t="s">
        <v>1205</v>
      </c>
      <c r="G39" s="29" t="s">
        <v>702</v>
      </c>
      <c r="H39" s="5" t="s">
        <v>1205</v>
      </c>
    </row>
    <row r="40" spans="1:9" ht="45">
      <c r="A40" s="251"/>
      <c r="B40" s="268"/>
      <c r="C40" s="247"/>
      <c r="D40" s="225" t="s">
        <v>711</v>
      </c>
      <c r="E40" s="32">
        <v>9</v>
      </c>
      <c r="F40" s="225" t="s">
        <v>1205</v>
      </c>
      <c r="G40" s="29" t="s">
        <v>702</v>
      </c>
      <c r="H40" s="5" t="s">
        <v>1205</v>
      </c>
    </row>
    <row r="41" spans="1:9" ht="60">
      <c r="A41" s="251"/>
      <c r="B41" s="268"/>
      <c r="C41" s="247"/>
      <c r="D41" s="225" t="s">
        <v>781</v>
      </c>
      <c r="E41" s="32">
        <v>2</v>
      </c>
      <c r="F41" s="225" t="s">
        <v>1403</v>
      </c>
      <c r="G41" s="225" t="s">
        <v>1479</v>
      </c>
      <c r="H41" s="6" t="s">
        <v>1403</v>
      </c>
      <c r="I41" s="7" t="s">
        <v>1398</v>
      </c>
    </row>
    <row r="42" spans="1:9" ht="60">
      <c r="A42" s="251"/>
      <c r="B42" s="268"/>
      <c r="C42" s="247"/>
      <c r="D42" s="225" t="s">
        <v>1413</v>
      </c>
      <c r="E42" s="32">
        <v>0.75</v>
      </c>
      <c r="F42" s="225" t="s">
        <v>1408</v>
      </c>
      <c r="G42" s="225" t="s">
        <v>1409</v>
      </c>
      <c r="H42" s="5"/>
    </row>
    <row r="43" spans="1:9" ht="45">
      <c r="A43" s="251"/>
      <c r="B43" s="268"/>
      <c r="C43" s="247"/>
      <c r="D43" s="225" t="s">
        <v>708</v>
      </c>
      <c r="E43" s="32">
        <v>4</v>
      </c>
      <c r="F43" s="225" t="s">
        <v>1205</v>
      </c>
      <c r="G43" s="29" t="s">
        <v>702</v>
      </c>
      <c r="H43" s="5" t="s">
        <v>1205</v>
      </c>
    </row>
    <row r="44" spans="1:9" ht="60">
      <c r="A44" s="251"/>
      <c r="B44" s="268"/>
      <c r="C44" s="247"/>
      <c r="D44" s="225" t="s">
        <v>1490</v>
      </c>
      <c r="E44" s="32">
        <v>1</v>
      </c>
      <c r="F44" s="225" t="s">
        <v>1408</v>
      </c>
      <c r="G44" s="225" t="s">
        <v>1409</v>
      </c>
      <c r="H44" s="5"/>
    </row>
    <row r="45" spans="1:9">
      <c r="A45" s="251"/>
      <c r="B45" s="268"/>
      <c r="C45" s="8" t="s">
        <v>453</v>
      </c>
      <c r="D45" s="59"/>
      <c r="E45" s="8"/>
      <c r="F45" s="8"/>
      <c r="G45" s="8"/>
      <c r="H45" s="7"/>
    </row>
    <row r="46" spans="1:9">
      <c r="A46" s="251"/>
      <c r="B46" s="268"/>
      <c r="C46" s="221" t="s">
        <v>12</v>
      </c>
      <c r="D46" s="11"/>
      <c r="E46" s="13">
        <f>SUM(E25:E45)</f>
        <v>67.150000000000006</v>
      </c>
      <c r="F46" s="13"/>
      <c r="G46" s="13"/>
      <c r="H46" s="24"/>
    </row>
    <row r="47" spans="1:9" ht="75">
      <c r="A47" s="251" t="s">
        <v>4</v>
      </c>
      <c r="B47" s="247" t="s">
        <v>8</v>
      </c>
      <c r="C47" s="8" t="s">
        <v>8</v>
      </c>
      <c r="D47" s="23" t="s">
        <v>469</v>
      </c>
      <c r="E47" s="15">
        <v>1</v>
      </c>
      <c r="F47" s="225" t="s">
        <v>1485</v>
      </c>
      <c r="G47" s="225" t="s">
        <v>1078</v>
      </c>
      <c r="H47" s="24"/>
    </row>
    <row r="48" spans="1:9" ht="30">
      <c r="A48" s="251"/>
      <c r="B48" s="247"/>
      <c r="C48" s="247" t="s">
        <v>443</v>
      </c>
      <c r="D48" s="23" t="s">
        <v>471</v>
      </c>
      <c r="E48" s="225">
        <v>0.04</v>
      </c>
      <c r="F48" s="225" t="s">
        <v>1116</v>
      </c>
      <c r="G48" s="61" t="s">
        <v>1503</v>
      </c>
      <c r="H48" s="24"/>
    </row>
    <row r="49" spans="1:8" ht="75">
      <c r="A49" s="251"/>
      <c r="B49" s="247"/>
      <c r="C49" s="247"/>
      <c r="D49" s="225" t="s">
        <v>444</v>
      </c>
      <c r="E49" s="9">
        <v>0.2</v>
      </c>
      <c r="F49" s="225" t="s">
        <v>1485</v>
      </c>
      <c r="G49" s="44" t="s">
        <v>958</v>
      </c>
      <c r="H49" s="24"/>
    </row>
    <row r="50" spans="1:8" ht="75">
      <c r="A50" s="251"/>
      <c r="B50" s="247"/>
      <c r="C50" s="247"/>
      <c r="D50" s="225" t="s">
        <v>1374</v>
      </c>
      <c r="E50" s="9">
        <v>0.7</v>
      </c>
      <c r="F50" s="225" t="s">
        <v>1344</v>
      </c>
      <c r="G50" s="13" t="s">
        <v>92</v>
      </c>
      <c r="H50" s="24"/>
    </row>
    <row r="51" spans="1:8" ht="24.75" customHeight="1">
      <c r="A51" s="251"/>
      <c r="B51" s="247"/>
      <c r="C51" s="8" t="s">
        <v>455</v>
      </c>
      <c r="D51" s="225" t="s">
        <v>1291</v>
      </c>
      <c r="E51" s="9">
        <v>2</v>
      </c>
      <c r="F51" s="225" t="s">
        <v>1418</v>
      </c>
      <c r="G51" s="13" t="s">
        <v>92</v>
      </c>
      <c r="H51" s="7"/>
    </row>
    <row r="52" spans="1:8">
      <c r="A52" s="251"/>
      <c r="B52" s="247"/>
      <c r="C52" s="8" t="s">
        <v>12</v>
      </c>
      <c r="D52" s="8"/>
      <c r="E52" s="225">
        <f>SUM(E47:E51)</f>
        <v>3.94</v>
      </c>
      <c r="F52" s="225"/>
      <c r="G52" s="225"/>
      <c r="H52" s="24"/>
    </row>
    <row r="53" spans="1:8" ht="30">
      <c r="A53" s="251" t="s">
        <v>5</v>
      </c>
      <c r="B53" s="268" t="s">
        <v>265</v>
      </c>
      <c r="C53" s="247" t="s">
        <v>265</v>
      </c>
      <c r="D53" s="8" t="s">
        <v>474</v>
      </c>
      <c r="E53" s="225">
        <v>0.2</v>
      </c>
      <c r="F53" s="225" t="s">
        <v>1116</v>
      </c>
      <c r="G53" s="61" t="s">
        <v>1503</v>
      </c>
      <c r="H53" s="24"/>
    </row>
    <row r="54" spans="1:8" ht="30">
      <c r="A54" s="251"/>
      <c r="B54" s="268"/>
      <c r="C54" s="247"/>
      <c r="D54" s="8" t="s">
        <v>475</v>
      </c>
      <c r="E54" s="225">
        <v>1</v>
      </c>
      <c r="F54" s="225" t="s">
        <v>485</v>
      </c>
      <c r="G54" s="225" t="s">
        <v>1117</v>
      </c>
      <c r="H54" s="24"/>
    </row>
    <row r="55" spans="1:8" ht="75">
      <c r="A55" s="251"/>
      <c r="B55" s="268"/>
      <c r="C55" s="247"/>
      <c r="D55" s="16" t="s">
        <v>468</v>
      </c>
      <c r="E55" s="25">
        <v>1.5</v>
      </c>
      <c r="F55" s="225" t="s">
        <v>1485</v>
      </c>
      <c r="G55" s="225" t="s">
        <v>1078</v>
      </c>
      <c r="H55" s="24"/>
    </row>
    <row r="56" spans="1:8" ht="75">
      <c r="A56" s="251"/>
      <c r="B56" s="268"/>
      <c r="C56" s="247" t="s">
        <v>450</v>
      </c>
      <c r="D56" s="225" t="s">
        <v>451</v>
      </c>
      <c r="E56" s="9">
        <v>1</v>
      </c>
      <c r="F56" s="225" t="s">
        <v>1485</v>
      </c>
      <c r="G56" s="225" t="s">
        <v>1499</v>
      </c>
      <c r="H56" s="7"/>
    </row>
    <row r="57" spans="1:8" ht="47.25">
      <c r="A57" s="251"/>
      <c r="B57" s="268"/>
      <c r="C57" s="247"/>
      <c r="D57" s="78" t="s">
        <v>1363</v>
      </c>
      <c r="E57" s="9">
        <v>1</v>
      </c>
      <c r="F57" s="225" t="s">
        <v>1344</v>
      </c>
      <c r="G57" s="13" t="s">
        <v>92</v>
      </c>
      <c r="H57" s="7"/>
    </row>
    <row r="58" spans="1:8" ht="30">
      <c r="A58" s="251"/>
      <c r="B58" s="268"/>
      <c r="C58" s="247"/>
      <c r="D58" s="225" t="s">
        <v>1367</v>
      </c>
      <c r="E58" s="9">
        <v>0.6</v>
      </c>
      <c r="F58" s="225" t="s">
        <v>1344</v>
      </c>
      <c r="G58" s="13" t="s">
        <v>92</v>
      </c>
      <c r="H58" s="7"/>
    </row>
    <row r="59" spans="1:8" ht="30">
      <c r="A59" s="251"/>
      <c r="B59" s="268"/>
      <c r="C59" s="247"/>
      <c r="D59" s="225" t="s">
        <v>1294</v>
      </c>
      <c r="E59" s="9">
        <v>2</v>
      </c>
      <c r="F59" s="225" t="s">
        <v>1418</v>
      </c>
      <c r="G59" s="13" t="s">
        <v>92</v>
      </c>
      <c r="H59" s="7"/>
    </row>
    <row r="60" spans="1:8">
      <c r="A60" s="251"/>
      <c r="B60" s="268"/>
      <c r="C60" s="221" t="s">
        <v>12</v>
      </c>
      <c r="D60" s="16"/>
      <c r="E60" s="13">
        <f>SUM(E53:E59)</f>
        <v>7.3</v>
      </c>
      <c r="F60" s="13"/>
      <c r="G60" s="12"/>
      <c r="H60" s="24"/>
    </row>
    <row r="61" spans="1:8" ht="30">
      <c r="A61" s="81"/>
      <c r="B61" s="268" t="s">
        <v>266</v>
      </c>
      <c r="C61" s="247" t="s">
        <v>266</v>
      </c>
      <c r="D61" s="16" t="s">
        <v>472</v>
      </c>
      <c r="E61" s="15">
        <v>0.04</v>
      </c>
      <c r="F61" s="225" t="s">
        <v>1116</v>
      </c>
      <c r="G61" s="61" t="s">
        <v>1503</v>
      </c>
      <c r="H61" s="24"/>
    </row>
    <row r="62" spans="1:8" ht="75">
      <c r="A62" s="251" t="s">
        <v>6</v>
      </c>
      <c r="B62" s="268"/>
      <c r="C62" s="247"/>
      <c r="D62" s="16" t="s">
        <v>502</v>
      </c>
      <c r="E62" s="13">
        <v>1.5</v>
      </c>
      <c r="F62" s="225" t="s">
        <v>1485</v>
      </c>
      <c r="G62" s="225" t="s">
        <v>1499</v>
      </c>
      <c r="H62" s="24"/>
    </row>
    <row r="63" spans="1:8" ht="75">
      <c r="A63" s="251"/>
      <c r="B63" s="268"/>
      <c r="C63" s="247"/>
      <c r="D63" s="225" t="s">
        <v>466</v>
      </c>
      <c r="E63" s="9">
        <v>2</v>
      </c>
      <c r="F63" s="225" t="s">
        <v>1485</v>
      </c>
      <c r="G63" s="44" t="s">
        <v>958</v>
      </c>
      <c r="H63" s="24"/>
    </row>
    <row r="64" spans="1:8" ht="45">
      <c r="A64" s="251"/>
      <c r="B64" s="268"/>
      <c r="C64" s="247"/>
      <c r="D64" s="225" t="s">
        <v>703</v>
      </c>
      <c r="E64" s="32">
        <v>8</v>
      </c>
      <c r="F64" s="225" t="s">
        <v>1205</v>
      </c>
      <c r="G64" s="29" t="s">
        <v>702</v>
      </c>
      <c r="H64" s="5" t="s">
        <v>1205</v>
      </c>
    </row>
    <row r="65" spans="1:9" ht="75">
      <c r="A65" s="251"/>
      <c r="B65" s="268"/>
      <c r="C65" s="247"/>
      <c r="D65" s="225" t="s">
        <v>1399</v>
      </c>
      <c r="E65" s="9">
        <v>1.5</v>
      </c>
      <c r="F65" s="225" t="s">
        <v>1397</v>
      </c>
      <c r="G65" s="225" t="s">
        <v>494</v>
      </c>
      <c r="H65" s="6" t="s">
        <v>1397</v>
      </c>
      <c r="I65" s="6" t="s">
        <v>1398</v>
      </c>
    </row>
    <row r="66" spans="1:9" ht="60">
      <c r="A66" s="251"/>
      <c r="B66" s="268"/>
      <c r="C66" s="247" t="s">
        <v>461</v>
      </c>
      <c r="D66" s="225" t="s">
        <v>483</v>
      </c>
      <c r="E66" s="9">
        <v>8</v>
      </c>
      <c r="F66" s="225" t="s">
        <v>1426</v>
      </c>
      <c r="G66" s="225" t="s">
        <v>626</v>
      </c>
      <c r="H66" s="5" t="s">
        <v>1426</v>
      </c>
      <c r="I66" s="115" t="s">
        <v>1398</v>
      </c>
    </row>
    <row r="67" spans="1:9" ht="75">
      <c r="A67" s="251"/>
      <c r="B67" s="268"/>
      <c r="C67" s="247"/>
      <c r="D67" s="8" t="s">
        <v>501</v>
      </c>
      <c r="E67" s="225">
        <v>1</v>
      </c>
      <c r="F67" s="225" t="s">
        <v>1485</v>
      </c>
      <c r="G67" s="225" t="s">
        <v>1499</v>
      </c>
      <c r="H67" s="7"/>
    </row>
    <row r="68" spans="1:9" ht="30">
      <c r="A68" s="251"/>
      <c r="B68" s="268"/>
      <c r="C68" s="247"/>
      <c r="D68" s="225" t="s">
        <v>1368</v>
      </c>
      <c r="E68" s="9">
        <v>0.5</v>
      </c>
      <c r="F68" s="225" t="s">
        <v>1344</v>
      </c>
      <c r="G68" s="13" t="s">
        <v>92</v>
      </c>
      <c r="H68" s="7"/>
    </row>
    <row r="69" spans="1:9" ht="30">
      <c r="A69" s="251"/>
      <c r="B69" s="268"/>
      <c r="C69" s="247"/>
      <c r="D69" s="225" t="s">
        <v>1288</v>
      </c>
      <c r="E69" s="9">
        <v>2</v>
      </c>
      <c r="F69" s="225" t="s">
        <v>1418</v>
      </c>
      <c r="G69" s="13" t="s">
        <v>92</v>
      </c>
      <c r="H69" s="24"/>
    </row>
    <row r="70" spans="1:9" ht="30">
      <c r="A70" s="251"/>
      <c r="B70" s="268"/>
      <c r="C70" s="8" t="s">
        <v>462</v>
      </c>
      <c r="D70" s="8" t="s">
        <v>478</v>
      </c>
      <c r="E70" s="225">
        <v>0.2</v>
      </c>
      <c r="F70" s="225" t="s">
        <v>1116</v>
      </c>
      <c r="G70" s="61" t="s">
        <v>1503</v>
      </c>
      <c r="H70" s="24"/>
    </row>
    <row r="71" spans="1:9">
      <c r="A71" s="251"/>
      <c r="B71" s="268"/>
      <c r="C71" s="8" t="s">
        <v>12</v>
      </c>
      <c r="D71" s="8"/>
      <c r="E71" s="225">
        <f>SUM(E61:E70)</f>
        <v>24.74</v>
      </c>
      <c r="F71" s="225"/>
      <c r="G71" s="225"/>
      <c r="H71" s="24"/>
    </row>
    <row r="72" spans="1:9" ht="81" customHeight="1">
      <c r="A72" s="251" t="s">
        <v>7</v>
      </c>
      <c r="B72" s="247" t="s">
        <v>267</v>
      </c>
      <c r="C72" s="247" t="s">
        <v>267</v>
      </c>
      <c r="D72" s="225" t="s">
        <v>433</v>
      </c>
      <c r="E72" s="9">
        <v>3</v>
      </c>
      <c r="F72" s="225" t="s">
        <v>1485</v>
      </c>
      <c r="G72" s="44" t="s">
        <v>958</v>
      </c>
    </row>
    <row r="73" spans="1:9" ht="57.75" customHeight="1">
      <c r="A73" s="251"/>
      <c r="B73" s="247"/>
      <c r="C73" s="247"/>
      <c r="D73" s="225" t="s">
        <v>489</v>
      </c>
      <c r="E73" s="9">
        <v>2</v>
      </c>
      <c r="F73" s="225" t="s">
        <v>1426</v>
      </c>
      <c r="G73" s="225" t="s">
        <v>487</v>
      </c>
      <c r="H73" s="5" t="s">
        <v>1426</v>
      </c>
      <c r="I73" s="115" t="s">
        <v>1398</v>
      </c>
    </row>
    <row r="74" spans="1:9" ht="58.5" customHeight="1">
      <c r="A74" s="251"/>
      <c r="B74" s="247"/>
      <c r="C74" s="247"/>
      <c r="D74" s="225" t="s">
        <v>486</v>
      </c>
      <c r="E74" s="9">
        <v>2</v>
      </c>
      <c r="F74" s="225" t="s">
        <v>1426</v>
      </c>
      <c r="G74" s="225" t="s">
        <v>487</v>
      </c>
      <c r="H74" s="5" t="s">
        <v>1426</v>
      </c>
      <c r="I74" s="115" t="s">
        <v>1398</v>
      </c>
    </row>
    <row r="75" spans="1:9" ht="36.75" customHeight="1">
      <c r="A75" s="251"/>
      <c r="B75" s="247"/>
      <c r="C75" s="8" t="s">
        <v>457</v>
      </c>
      <c r="D75" s="8" t="s">
        <v>476</v>
      </c>
      <c r="E75" s="225">
        <v>0.25</v>
      </c>
      <c r="F75" s="225" t="s">
        <v>1116</v>
      </c>
      <c r="G75" s="61" t="s">
        <v>1503</v>
      </c>
      <c r="H75" s="24"/>
    </row>
    <row r="76" spans="1:9" ht="33.75" customHeight="1">
      <c r="A76" s="251"/>
      <c r="B76" s="247"/>
      <c r="C76" s="247" t="s">
        <v>458</v>
      </c>
      <c r="D76" s="225" t="s">
        <v>1369</v>
      </c>
      <c r="E76" s="9">
        <v>0.6</v>
      </c>
      <c r="F76" s="225" t="s">
        <v>1344</v>
      </c>
      <c r="G76" s="13" t="s">
        <v>92</v>
      </c>
      <c r="H76" s="24"/>
    </row>
    <row r="77" spans="1:9" ht="33.75" customHeight="1">
      <c r="A77" s="251"/>
      <c r="B77" s="247"/>
      <c r="C77" s="247"/>
      <c r="D77" s="225" t="s">
        <v>1295</v>
      </c>
      <c r="E77" s="9">
        <v>2</v>
      </c>
      <c r="F77" s="225" t="s">
        <v>1418</v>
      </c>
      <c r="G77" s="13" t="s">
        <v>92</v>
      </c>
      <c r="H77" s="24"/>
    </row>
    <row r="78" spans="1:9" ht="60">
      <c r="A78" s="251"/>
      <c r="B78" s="247"/>
      <c r="C78" s="247"/>
      <c r="D78" s="225" t="s">
        <v>1412</v>
      </c>
      <c r="E78" s="32">
        <v>0.5</v>
      </c>
      <c r="F78" s="225" t="s">
        <v>1408</v>
      </c>
      <c r="G78" s="225" t="s">
        <v>1409</v>
      </c>
      <c r="H78" s="7"/>
    </row>
    <row r="79" spans="1:9" ht="20.25" customHeight="1">
      <c r="A79" s="251"/>
      <c r="B79" s="247"/>
      <c r="C79" s="221" t="s">
        <v>12</v>
      </c>
      <c r="D79" s="16"/>
      <c r="E79" s="15">
        <f>SUM(E72:E78)</f>
        <v>10.35</v>
      </c>
      <c r="F79" s="15"/>
      <c r="G79" s="12"/>
      <c r="H79" s="7"/>
    </row>
    <row r="80" spans="1:9" ht="82.5" customHeight="1">
      <c r="A80" s="251" t="s">
        <v>9</v>
      </c>
      <c r="B80" s="247" t="s">
        <v>268</v>
      </c>
      <c r="C80" s="247" t="s">
        <v>268</v>
      </c>
      <c r="D80" s="8" t="s">
        <v>448</v>
      </c>
      <c r="E80" s="225">
        <v>1</v>
      </c>
      <c r="F80" s="225" t="s">
        <v>1485</v>
      </c>
      <c r="G80" s="225" t="s">
        <v>1499</v>
      </c>
      <c r="H80" s="30"/>
      <c r="I80" s="61"/>
    </row>
    <row r="81" spans="1:9" ht="75">
      <c r="A81" s="251"/>
      <c r="B81" s="247"/>
      <c r="C81" s="247"/>
      <c r="D81" s="225" t="s">
        <v>1112</v>
      </c>
      <c r="E81" s="225">
        <v>1</v>
      </c>
      <c r="F81" s="225" t="s">
        <v>1485</v>
      </c>
      <c r="G81" s="225" t="s">
        <v>1499</v>
      </c>
      <c r="H81" s="30"/>
      <c r="I81" s="61"/>
    </row>
    <row r="82" spans="1:9" ht="75">
      <c r="A82" s="251"/>
      <c r="B82" s="247"/>
      <c r="C82" s="247"/>
      <c r="D82" s="8" t="s">
        <v>447</v>
      </c>
      <c r="E82" s="225">
        <v>1</v>
      </c>
      <c r="F82" s="225" t="s">
        <v>1485</v>
      </c>
      <c r="G82" s="225" t="s">
        <v>1499</v>
      </c>
      <c r="H82" s="30"/>
      <c r="I82" s="61"/>
    </row>
    <row r="83" spans="1:9" ht="75">
      <c r="A83" s="251"/>
      <c r="B83" s="247"/>
      <c r="C83" s="247"/>
      <c r="D83" s="8" t="s">
        <v>499</v>
      </c>
      <c r="E83" s="225">
        <v>1</v>
      </c>
      <c r="F83" s="225" t="s">
        <v>1485</v>
      </c>
      <c r="G83" s="225" t="s">
        <v>1499</v>
      </c>
      <c r="H83" s="24"/>
    </row>
    <row r="84" spans="1:9" ht="75">
      <c r="A84" s="251"/>
      <c r="B84" s="247"/>
      <c r="C84" s="247"/>
      <c r="D84" s="8" t="s">
        <v>449</v>
      </c>
      <c r="E84" s="225">
        <v>1</v>
      </c>
      <c r="F84" s="225" t="s">
        <v>1485</v>
      </c>
      <c r="G84" s="225" t="s">
        <v>1499</v>
      </c>
      <c r="H84" s="24"/>
    </row>
    <row r="85" spans="1:9" ht="30">
      <c r="A85" s="251"/>
      <c r="B85" s="247"/>
      <c r="C85" s="247"/>
      <c r="D85" s="225" t="s">
        <v>1290</v>
      </c>
      <c r="E85" s="9">
        <v>2</v>
      </c>
      <c r="F85" s="225" t="s">
        <v>1418</v>
      </c>
      <c r="G85" s="13" t="s">
        <v>92</v>
      </c>
      <c r="H85" s="24"/>
    </row>
    <row r="86" spans="1:9" ht="34.5" customHeight="1">
      <c r="A86" s="251"/>
      <c r="B86" s="247"/>
      <c r="C86" s="247"/>
      <c r="D86" s="225" t="s">
        <v>710</v>
      </c>
      <c r="E86" s="32">
        <v>8</v>
      </c>
      <c r="F86" s="225" t="s">
        <v>1205</v>
      </c>
      <c r="G86" s="29" t="s">
        <v>702</v>
      </c>
      <c r="H86" s="5" t="s">
        <v>1205</v>
      </c>
      <c r="I86" s="61"/>
    </row>
    <row r="87" spans="1:9" ht="75" customHeight="1">
      <c r="A87" s="251"/>
      <c r="B87" s="247"/>
      <c r="C87" s="247" t="s">
        <v>446</v>
      </c>
      <c r="D87" s="225" t="s">
        <v>490</v>
      </c>
      <c r="E87" s="9">
        <v>1</v>
      </c>
      <c r="F87" s="225" t="s">
        <v>1485</v>
      </c>
      <c r="G87" s="225" t="s">
        <v>1499</v>
      </c>
      <c r="H87" s="122"/>
      <c r="I87" s="167"/>
    </row>
    <row r="88" spans="1:9" ht="34.5" customHeight="1">
      <c r="A88" s="251"/>
      <c r="B88" s="247"/>
      <c r="C88" s="247"/>
      <c r="D88" s="225" t="s">
        <v>704</v>
      </c>
      <c r="E88" s="32">
        <v>7</v>
      </c>
      <c r="F88" s="225" t="s">
        <v>1205</v>
      </c>
      <c r="G88" s="29" t="s">
        <v>702</v>
      </c>
      <c r="H88" s="5" t="s">
        <v>1205</v>
      </c>
      <c r="I88" s="167"/>
    </row>
    <row r="89" spans="1:9" ht="83.25" customHeight="1">
      <c r="A89" s="251"/>
      <c r="B89" s="247"/>
      <c r="C89" s="247"/>
      <c r="D89" s="225" t="s">
        <v>1378</v>
      </c>
      <c r="E89" s="32">
        <v>0.7</v>
      </c>
      <c r="F89" s="225" t="s">
        <v>1344</v>
      </c>
      <c r="G89" s="15" t="s">
        <v>92</v>
      </c>
      <c r="H89" s="5"/>
    </row>
    <row r="90" spans="1:9">
      <c r="A90" s="251"/>
      <c r="B90" s="247"/>
      <c r="C90" s="8" t="s">
        <v>12</v>
      </c>
      <c r="D90" s="8"/>
      <c r="E90" s="225">
        <f>SUM(E80:E89)</f>
        <v>23.7</v>
      </c>
      <c r="F90" s="225"/>
      <c r="G90" s="225"/>
      <c r="H90" s="24"/>
    </row>
    <row r="91" spans="1:9" ht="75">
      <c r="A91" s="251" t="s">
        <v>13</v>
      </c>
      <c r="B91" s="247" t="s">
        <v>269</v>
      </c>
      <c r="C91" s="247" t="s">
        <v>269</v>
      </c>
      <c r="D91" s="225" t="s">
        <v>439</v>
      </c>
      <c r="E91" s="225">
        <v>2</v>
      </c>
      <c r="F91" s="225" t="s">
        <v>1485</v>
      </c>
      <c r="G91" s="44" t="s">
        <v>958</v>
      </c>
      <c r="H91" s="7"/>
    </row>
    <row r="92" spans="1:9" ht="60">
      <c r="A92" s="251"/>
      <c r="B92" s="247"/>
      <c r="C92" s="247"/>
      <c r="D92" s="225" t="s">
        <v>1475</v>
      </c>
      <c r="E92" s="225">
        <v>13</v>
      </c>
      <c r="F92" s="225" t="s">
        <v>1426</v>
      </c>
      <c r="G92" s="225" t="s">
        <v>626</v>
      </c>
      <c r="H92" s="5" t="s">
        <v>1426</v>
      </c>
      <c r="I92" s="115" t="s">
        <v>1398</v>
      </c>
    </row>
    <row r="93" spans="1:9" ht="30">
      <c r="A93" s="251"/>
      <c r="B93" s="247"/>
      <c r="C93" s="247"/>
      <c r="D93" s="225" t="s">
        <v>1379</v>
      </c>
      <c r="E93" s="9">
        <v>0.6</v>
      </c>
      <c r="F93" s="225" t="s">
        <v>1344</v>
      </c>
      <c r="G93" s="13" t="s">
        <v>92</v>
      </c>
      <c r="H93" s="7"/>
    </row>
    <row r="94" spans="1:9" ht="30">
      <c r="A94" s="251"/>
      <c r="B94" s="247"/>
      <c r="C94" s="247" t="s">
        <v>456</v>
      </c>
      <c r="D94" s="8" t="s">
        <v>492</v>
      </c>
      <c r="E94" s="225">
        <v>2</v>
      </c>
      <c r="F94" s="225" t="s">
        <v>493</v>
      </c>
      <c r="G94" s="225" t="s">
        <v>494</v>
      </c>
    </row>
    <row r="95" spans="1:9" ht="75">
      <c r="A95" s="251"/>
      <c r="B95" s="247"/>
      <c r="C95" s="247"/>
      <c r="D95" s="8" t="s">
        <v>835</v>
      </c>
      <c r="E95" s="225">
        <v>2</v>
      </c>
      <c r="F95" s="225" t="s">
        <v>1397</v>
      </c>
      <c r="G95" s="225" t="s">
        <v>494</v>
      </c>
      <c r="H95" s="6" t="s">
        <v>1397</v>
      </c>
      <c r="I95" s="6" t="s">
        <v>1398</v>
      </c>
    </row>
    <row r="96" spans="1:9" ht="30">
      <c r="A96" s="251"/>
      <c r="B96" s="247"/>
      <c r="C96" s="247"/>
      <c r="D96" s="225" t="s">
        <v>1287</v>
      </c>
      <c r="E96" s="9">
        <v>2</v>
      </c>
      <c r="F96" s="225" t="s">
        <v>1418</v>
      </c>
      <c r="G96" s="13" t="s">
        <v>92</v>
      </c>
    </row>
    <row r="97" spans="1:8">
      <c r="A97" s="251"/>
      <c r="B97" s="247"/>
      <c r="C97" s="8" t="s">
        <v>12</v>
      </c>
      <c r="D97" s="8"/>
      <c r="E97" s="225">
        <f>SUM(E91:E96)</f>
        <v>21.6</v>
      </c>
      <c r="F97" s="225"/>
      <c r="G97" s="225"/>
    </row>
    <row r="98" spans="1:8" ht="30">
      <c r="A98" s="251" t="s">
        <v>14</v>
      </c>
      <c r="B98" s="268" t="s">
        <v>270</v>
      </c>
      <c r="C98" s="247" t="s">
        <v>270</v>
      </c>
      <c r="D98" s="8" t="s">
        <v>477</v>
      </c>
      <c r="E98" s="225">
        <v>0.2</v>
      </c>
      <c r="F98" s="225" t="s">
        <v>1116</v>
      </c>
      <c r="G98" s="61" t="s">
        <v>1503</v>
      </c>
    </row>
    <row r="99" spans="1:8" ht="77.25" customHeight="1">
      <c r="A99" s="251"/>
      <c r="B99" s="268"/>
      <c r="C99" s="247"/>
      <c r="D99" s="8" t="s">
        <v>1113</v>
      </c>
      <c r="E99" s="225">
        <v>1</v>
      </c>
      <c r="F99" s="225" t="s">
        <v>1485</v>
      </c>
      <c r="G99" s="225" t="s">
        <v>1499</v>
      </c>
    </row>
    <row r="100" spans="1:8" ht="32.25" customHeight="1">
      <c r="A100" s="251"/>
      <c r="B100" s="268"/>
      <c r="C100" s="247"/>
      <c r="D100" s="225" t="s">
        <v>1293</v>
      </c>
      <c r="E100" s="9">
        <v>2</v>
      </c>
      <c r="F100" s="225" t="s">
        <v>1418</v>
      </c>
      <c r="G100" s="13" t="s">
        <v>92</v>
      </c>
    </row>
    <row r="101" spans="1:8" ht="75">
      <c r="A101" s="251"/>
      <c r="B101" s="268"/>
      <c r="C101" s="247"/>
      <c r="D101" s="225" t="s">
        <v>500</v>
      </c>
      <c r="E101" s="225">
        <v>1</v>
      </c>
      <c r="F101" s="225" t="s">
        <v>1485</v>
      </c>
      <c r="G101" s="225" t="s">
        <v>1499</v>
      </c>
    </row>
    <row r="102" spans="1:8" ht="45">
      <c r="A102" s="251"/>
      <c r="B102" s="268"/>
      <c r="C102" s="247" t="s">
        <v>430</v>
      </c>
      <c r="D102" s="225" t="s">
        <v>1375</v>
      </c>
      <c r="E102" s="9">
        <v>0.6</v>
      </c>
      <c r="F102" s="225" t="s">
        <v>1344</v>
      </c>
      <c r="G102" s="13" t="s">
        <v>92</v>
      </c>
    </row>
    <row r="103" spans="1:8" ht="45">
      <c r="A103" s="251"/>
      <c r="B103" s="268"/>
      <c r="C103" s="247"/>
      <c r="D103" s="225" t="s">
        <v>707</v>
      </c>
      <c r="E103" s="32">
        <v>7.7</v>
      </c>
      <c r="F103" s="225" t="s">
        <v>1205</v>
      </c>
      <c r="G103" s="29" t="s">
        <v>702</v>
      </c>
      <c r="H103" s="5" t="s">
        <v>1205</v>
      </c>
    </row>
    <row r="104" spans="1:8">
      <c r="A104" s="251"/>
      <c r="B104" s="268"/>
      <c r="C104" s="221" t="s">
        <v>460</v>
      </c>
      <c r="D104" s="225"/>
      <c r="E104" s="9"/>
      <c r="F104" s="225"/>
      <c r="G104" s="225"/>
      <c r="H104" s="7"/>
    </row>
    <row r="105" spans="1:8">
      <c r="A105" s="251"/>
      <c r="B105" s="268"/>
      <c r="C105" s="8" t="s">
        <v>12</v>
      </c>
      <c r="D105" s="11"/>
      <c r="E105" s="13">
        <f>SUM(E98:E104)</f>
        <v>12.5</v>
      </c>
      <c r="F105" s="13"/>
      <c r="G105" s="13"/>
      <c r="H105" s="7"/>
    </row>
    <row r="106" spans="1:8" ht="75">
      <c r="A106" s="251" t="s">
        <v>15</v>
      </c>
      <c r="B106" s="247" t="s">
        <v>432</v>
      </c>
      <c r="C106" s="247" t="s">
        <v>432</v>
      </c>
      <c r="D106" s="225" t="s">
        <v>495</v>
      </c>
      <c r="E106" s="15">
        <v>2.5</v>
      </c>
      <c r="F106" s="225" t="s">
        <v>1485</v>
      </c>
      <c r="G106" s="44" t="s">
        <v>958</v>
      </c>
      <c r="H106" s="7"/>
    </row>
    <row r="107" spans="1:8" ht="75">
      <c r="A107" s="251"/>
      <c r="B107" s="247"/>
      <c r="C107" s="247"/>
      <c r="D107" s="225" t="s">
        <v>496</v>
      </c>
      <c r="E107" s="15">
        <v>1</v>
      </c>
      <c r="F107" s="225" t="s">
        <v>1485</v>
      </c>
      <c r="G107" s="225" t="s">
        <v>1499</v>
      </c>
      <c r="H107" s="7"/>
    </row>
    <row r="108" spans="1:8" ht="45">
      <c r="A108" s="251"/>
      <c r="B108" s="247"/>
      <c r="C108" s="247" t="s">
        <v>459</v>
      </c>
      <c r="D108" s="225" t="s">
        <v>1289</v>
      </c>
      <c r="E108" s="9">
        <v>2</v>
      </c>
      <c r="F108" s="225" t="s">
        <v>1418</v>
      </c>
      <c r="G108" s="13" t="s">
        <v>92</v>
      </c>
      <c r="H108" s="7"/>
    </row>
    <row r="109" spans="1:8" ht="30">
      <c r="A109" s="251"/>
      <c r="B109" s="247"/>
      <c r="C109" s="247"/>
      <c r="D109" s="27" t="s">
        <v>1372</v>
      </c>
      <c r="E109" s="9">
        <v>0.6</v>
      </c>
      <c r="F109" s="13" t="s">
        <v>1344</v>
      </c>
      <c r="G109" s="13" t="s">
        <v>92</v>
      </c>
      <c r="H109" s="24"/>
    </row>
    <row r="110" spans="1:8" ht="75">
      <c r="A110" s="251"/>
      <c r="B110" s="247"/>
      <c r="C110" s="247" t="s">
        <v>436</v>
      </c>
      <c r="D110" s="225" t="s">
        <v>498</v>
      </c>
      <c r="E110" s="9">
        <v>2</v>
      </c>
      <c r="F110" s="225" t="s">
        <v>1485</v>
      </c>
      <c r="G110" s="44" t="s">
        <v>958</v>
      </c>
      <c r="H110" s="24"/>
    </row>
    <row r="111" spans="1:8" ht="75">
      <c r="A111" s="251"/>
      <c r="B111" s="247"/>
      <c r="C111" s="247"/>
      <c r="D111" s="225" t="s">
        <v>497</v>
      </c>
      <c r="E111" s="9">
        <v>1</v>
      </c>
      <c r="F111" s="225" t="s">
        <v>1485</v>
      </c>
      <c r="G111" s="225" t="s">
        <v>1499</v>
      </c>
      <c r="H111" s="24"/>
    </row>
    <row r="112" spans="1:8" ht="75">
      <c r="A112" s="251"/>
      <c r="B112" s="247"/>
      <c r="C112" s="247"/>
      <c r="D112" s="35" t="s">
        <v>929</v>
      </c>
      <c r="E112" s="47">
        <v>0.3</v>
      </c>
      <c r="F112" s="225" t="s">
        <v>1485</v>
      </c>
      <c r="G112" s="44" t="s">
        <v>958</v>
      </c>
      <c r="H112" s="24"/>
    </row>
    <row r="113" spans="1:9" ht="45">
      <c r="A113" s="251"/>
      <c r="B113" s="247"/>
      <c r="C113" s="247"/>
      <c r="D113" s="225" t="s">
        <v>709</v>
      </c>
      <c r="E113" s="32">
        <v>8</v>
      </c>
      <c r="F113" s="225" t="s">
        <v>1205</v>
      </c>
      <c r="G113" s="29" t="s">
        <v>702</v>
      </c>
      <c r="H113" s="5" t="s">
        <v>1205</v>
      </c>
    </row>
    <row r="114" spans="1:9">
      <c r="A114" s="251"/>
      <c r="B114" s="247"/>
      <c r="C114" s="221" t="s">
        <v>12</v>
      </c>
      <c r="D114" s="11"/>
      <c r="E114" s="13">
        <f>SUM(E106:E113)</f>
        <v>17.399999999999999</v>
      </c>
      <c r="F114" s="13"/>
      <c r="G114" s="13"/>
      <c r="H114" s="24"/>
    </row>
    <row r="115" spans="1:9" ht="60">
      <c r="A115" s="1"/>
      <c r="B115" s="1"/>
      <c r="C115" s="266" t="s">
        <v>660</v>
      </c>
      <c r="D115" s="225" t="s">
        <v>656</v>
      </c>
      <c r="E115" s="32">
        <v>0.8</v>
      </c>
      <c r="F115" s="225" t="s">
        <v>1426</v>
      </c>
      <c r="G115" s="225" t="s">
        <v>657</v>
      </c>
      <c r="H115" s="5" t="s">
        <v>1426</v>
      </c>
      <c r="I115" s="115" t="s">
        <v>1398</v>
      </c>
    </row>
    <row r="116" spans="1:9" ht="60">
      <c r="A116" s="1"/>
      <c r="B116" s="1"/>
      <c r="C116" s="266"/>
      <c r="D116" s="225" t="s">
        <v>661</v>
      </c>
      <c r="E116" s="32">
        <v>0.5</v>
      </c>
      <c r="F116" s="225" t="s">
        <v>1426</v>
      </c>
      <c r="G116" s="225" t="s">
        <v>657</v>
      </c>
      <c r="H116" s="5" t="s">
        <v>1426</v>
      </c>
      <c r="I116" s="115" t="s">
        <v>1398</v>
      </c>
    </row>
    <row r="117" spans="1:9" ht="60">
      <c r="A117" s="1"/>
      <c r="B117" s="1"/>
      <c r="C117" s="266"/>
      <c r="D117" s="225" t="s">
        <v>658</v>
      </c>
      <c r="E117" s="32">
        <v>0.5</v>
      </c>
      <c r="F117" s="225" t="s">
        <v>1426</v>
      </c>
      <c r="G117" s="225" t="s">
        <v>657</v>
      </c>
      <c r="H117" s="5" t="s">
        <v>1426</v>
      </c>
      <c r="I117" s="115" t="s">
        <v>1398</v>
      </c>
    </row>
    <row r="118" spans="1:9" ht="60">
      <c r="A118" s="1"/>
      <c r="B118" s="1"/>
      <c r="C118" s="266"/>
      <c r="D118" s="225" t="s">
        <v>659</v>
      </c>
      <c r="E118" s="32">
        <v>0.1</v>
      </c>
      <c r="F118" s="225" t="s">
        <v>1426</v>
      </c>
      <c r="G118" s="225" t="s">
        <v>657</v>
      </c>
      <c r="H118" s="5" t="s">
        <v>1426</v>
      </c>
      <c r="I118" s="115" t="s">
        <v>1398</v>
      </c>
    </row>
    <row r="119" spans="1:9" ht="75">
      <c r="A119" s="1"/>
      <c r="B119" s="1"/>
      <c r="C119" s="9" t="s">
        <v>660</v>
      </c>
      <c r="D119" s="68" t="s">
        <v>1200</v>
      </c>
      <c r="E119" s="32">
        <v>4.4000000000000004</v>
      </c>
      <c r="F119" s="225" t="s">
        <v>1485</v>
      </c>
      <c r="G119" s="44" t="s">
        <v>958</v>
      </c>
      <c r="H119" s="5"/>
      <c r="I119" s="114"/>
    </row>
    <row r="120" spans="1:9" ht="31.5">
      <c r="A120" s="1"/>
      <c r="B120" s="1"/>
      <c r="C120" s="9" t="s">
        <v>660</v>
      </c>
      <c r="D120" s="93" t="s">
        <v>1385</v>
      </c>
      <c r="E120" s="103">
        <v>0.8</v>
      </c>
      <c r="F120" s="225" t="s">
        <v>1344</v>
      </c>
      <c r="G120" s="15" t="s">
        <v>92</v>
      </c>
      <c r="H120" s="5"/>
      <c r="I120" s="114"/>
    </row>
    <row r="121" spans="1:9" ht="30">
      <c r="A121" s="1"/>
      <c r="B121" s="1"/>
      <c r="C121" s="9" t="s">
        <v>660</v>
      </c>
      <c r="D121" s="225" t="s">
        <v>1376</v>
      </c>
      <c r="E121" s="32">
        <v>0.6</v>
      </c>
      <c r="F121" s="225" t="s">
        <v>1344</v>
      </c>
      <c r="G121" s="15" t="s">
        <v>92</v>
      </c>
      <c r="H121" s="5"/>
      <c r="I121" s="114"/>
    </row>
    <row r="122" spans="1:9" ht="30">
      <c r="A122" s="1"/>
      <c r="B122" s="1"/>
      <c r="C122" s="9" t="s">
        <v>660</v>
      </c>
      <c r="D122" s="225" t="s">
        <v>1377</v>
      </c>
      <c r="E122" s="32">
        <v>0.6</v>
      </c>
      <c r="F122" s="225" t="s">
        <v>1344</v>
      </c>
      <c r="G122" s="15" t="s">
        <v>92</v>
      </c>
      <c r="H122" s="5"/>
      <c r="I122" s="114"/>
    </row>
    <row r="123" spans="1:9" ht="60">
      <c r="A123" s="1"/>
      <c r="B123" s="1"/>
      <c r="C123" s="9"/>
      <c r="D123" s="225" t="s">
        <v>1535</v>
      </c>
      <c r="E123" s="225">
        <v>10</v>
      </c>
      <c r="F123" s="225" t="s">
        <v>1533</v>
      </c>
      <c r="G123" s="42" t="s">
        <v>1521</v>
      </c>
      <c r="H123" s="122"/>
      <c r="I123" s="114"/>
    </row>
    <row r="124" spans="1:9" ht="30">
      <c r="A124" s="1"/>
      <c r="B124" s="1"/>
      <c r="C124" s="9"/>
      <c r="D124" s="225" t="s">
        <v>1537</v>
      </c>
      <c r="E124" s="32">
        <v>20</v>
      </c>
      <c r="F124" s="225" t="s">
        <v>1533</v>
      </c>
      <c r="G124" s="42" t="s">
        <v>1521</v>
      </c>
      <c r="H124" s="122"/>
      <c r="I124" s="114"/>
    </row>
    <row r="125" spans="1:9" ht="45">
      <c r="A125" s="1"/>
      <c r="B125" s="1"/>
      <c r="C125" s="9"/>
      <c r="D125" s="20" t="s">
        <v>1620</v>
      </c>
      <c r="E125" s="32">
        <v>5</v>
      </c>
      <c r="F125" s="189" t="s">
        <v>1616</v>
      </c>
      <c r="G125" s="42" t="s">
        <v>1556</v>
      </c>
      <c r="H125" s="122"/>
      <c r="I125" s="114"/>
    </row>
    <row r="126" spans="1:9" ht="45">
      <c r="A126" s="1"/>
      <c r="B126" s="1"/>
      <c r="C126" s="9"/>
      <c r="D126" s="20" t="s">
        <v>1638</v>
      </c>
      <c r="E126" s="32">
        <v>5</v>
      </c>
      <c r="F126" s="196" t="s">
        <v>1630</v>
      </c>
      <c r="G126" s="42" t="s">
        <v>1556</v>
      </c>
      <c r="H126" s="122"/>
      <c r="I126" s="114"/>
    </row>
    <row r="127" spans="1:9" ht="45">
      <c r="A127" s="1"/>
      <c r="B127" s="1"/>
      <c r="C127" s="9"/>
      <c r="D127" s="20" t="s">
        <v>1640</v>
      </c>
      <c r="E127" s="32">
        <v>10</v>
      </c>
      <c r="F127" s="196" t="s">
        <v>1630</v>
      </c>
      <c r="G127" s="42" t="s">
        <v>1556</v>
      </c>
      <c r="H127" s="122"/>
      <c r="I127" s="114"/>
    </row>
    <row r="128" spans="1:9" ht="45">
      <c r="A128" s="1"/>
      <c r="B128" s="1"/>
      <c r="C128" s="9"/>
      <c r="D128" s="20" t="s">
        <v>1643</v>
      </c>
      <c r="E128" s="32">
        <v>8</v>
      </c>
      <c r="F128" s="196" t="s">
        <v>1630</v>
      </c>
      <c r="G128" s="42" t="s">
        <v>1556</v>
      </c>
      <c r="H128" s="122"/>
      <c r="I128" s="114"/>
    </row>
    <row r="129" spans="1:9" ht="54.75" customHeight="1">
      <c r="A129" s="1"/>
      <c r="B129" s="1"/>
      <c r="C129" s="9"/>
      <c r="D129" s="20" t="s">
        <v>1645</v>
      </c>
      <c r="E129" s="32">
        <v>15</v>
      </c>
      <c r="F129" s="196" t="s">
        <v>1630</v>
      </c>
      <c r="G129" s="42" t="s">
        <v>1556</v>
      </c>
      <c r="H129" s="122"/>
      <c r="I129" s="114"/>
    </row>
    <row r="130" spans="1:9" ht="45">
      <c r="A130" s="1"/>
      <c r="B130" s="1"/>
      <c r="C130" s="9"/>
      <c r="D130" s="20" t="s">
        <v>1652</v>
      </c>
      <c r="E130" s="32">
        <v>2</v>
      </c>
      <c r="F130" s="20" t="s">
        <v>1651</v>
      </c>
      <c r="G130" s="42" t="s">
        <v>1556</v>
      </c>
      <c r="H130" s="122"/>
      <c r="I130" s="114"/>
    </row>
    <row r="131" spans="1:9" ht="47.25">
      <c r="A131" s="1"/>
      <c r="B131" s="1"/>
      <c r="C131" s="9"/>
      <c r="D131" s="196" t="s">
        <v>1658</v>
      </c>
      <c r="E131" s="9">
        <v>4</v>
      </c>
      <c r="F131" s="29" t="s">
        <v>1654</v>
      </c>
      <c r="G131" s="42" t="s">
        <v>1556</v>
      </c>
      <c r="H131" s="122"/>
      <c r="I131" s="114"/>
    </row>
    <row r="132" spans="1:9" ht="47.25">
      <c r="A132" s="1"/>
      <c r="B132" s="1"/>
      <c r="C132" s="9"/>
      <c r="D132" s="196" t="s">
        <v>1664</v>
      </c>
      <c r="E132" s="9">
        <v>2.5</v>
      </c>
      <c r="F132" s="29" t="s">
        <v>1654</v>
      </c>
      <c r="G132" s="42" t="s">
        <v>1556</v>
      </c>
      <c r="H132" s="122"/>
      <c r="I132" s="114"/>
    </row>
    <row r="133" spans="1:9" ht="47.25">
      <c r="A133" s="1"/>
      <c r="B133" s="1"/>
      <c r="C133" s="9"/>
      <c r="D133" s="196" t="s">
        <v>1861</v>
      </c>
      <c r="E133" s="9">
        <v>4</v>
      </c>
      <c r="F133" s="29" t="s">
        <v>1666</v>
      </c>
      <c r="G133" s="42" t="s">
        <v>1556</v>
      </c>
      <c r="H133" s="122"/>
      <c r="I133" s="114"/>
    </row>
    <row r="134" spans="1:9" ht="45">
      <c r="A134" s="1"/>
      <c r="B134" s="1"/>
      <c r="C134" s="9"/>
      <c r="D134" s="196" t="s">
        <v>1667</v>
      </c>
      <c r="E134" s="9">
        <v>4</v>
      </c>
      <c r="F134" s="29" t="s">
        <v>1666</v>
      </c>
      <c r="G134" s="42" t="s">
        <v>1556</v>
      </c>
      <c r="H134" s="122"/>
      <c r="I134" s="114"/>
    </row>
    <row r="135" spans="1:9" ht="47.25">
      <c r="A135" s="1"/>
      <c r="B135" s="1"/>
      <c r="C135" s="9"/>
      <c r="D135" s="196" t="s">
        <v>1668</v>
      </c>
      <c r="E135" s="9">
        <v>4</v>
      </c>
      <c r="F135" s="29" t="s">
        <v>1666</v>
      </c>
      <c r="G135" s="42" t="s">
        <v>1556</v>
      </c>
      <c r="H135" s="122"/>
      <c r="I135" s="114"/>
    </row>
    <row r="136" spans="1:9" ht="45">
      <c r="A136" s="1"/>
      <c r="B136" s="1"/>
      <c r="C136" s="9"/>
      <c r="D136" s="196" t="s">
        <v>1669</v>
      </c>
      <c r="E136" s="9">
        <v>6</v>
      </c>
      <c r="F136" s="29" t="s">
        <v>1666</v>
      </c>
      <c r="G136" s="42" t="s">
        <v>1556</v>
      </c>
      <c r="H136" s="122"/>
      <c r="I136" s="114"/>
    </row>
    <row r="137" spans="1:9" ht="45">
      <c r="A137" s="1"/>
      <c r="B137" s="1"/>
      <c r="C137" s="9"/>
      <c r="D137" s="196" t="s">
        <v>1693</v>
      </c>
      <c r="E137" s="9">
        <v>20</v>
      </c>
      <c r="F137" s="29" t="s">
        <v>1666</v>
      </c>
      <c r="G137" s="42" t="s">
        <v>1556</v>
      </c>
      <c r="H137" s="122"/>
      <c r="I137" s="114"/>
    </row>
    <row r="138" spans="1:9" ht="45">
      <c r="A138" s="1"/>
      <c r="B138" s="1"/>
      <c r="C138" s="9"/>
      <c r="D138" s="196" t="s">
        <v>1694</v>
      </c>
      <c r="E138" s="9">
        <v>15</v>
      </c>
      <c r="F138" s="29" t="s">
        <v>1666</v>
      </c>
      <c r="G138" s="42" t="s">
        <v>1556</v>
      </c>
      <c r="H138" s="122"/>
      <c r="I138" s="114"/>
    </row>
    <row r="139" spans="1:9" ht="45">
      <c r="A139" s="1"/>
      <c r="B139" s="1"/>
      <c r="C139" s="9"/>
      <c r="D139" s="196" t="s">
        <v>1695</v>
      </c>
      <c r="E139" s="9">
        <v>6</v>
      </c>
      <c r="F139" s="29" t="s">
        <v>1666</v>
      </c>
      <c r="G139" s="42" t="s">
        <v>1556</v>
      </c>
      <c r="H139" s="122"/>
      <c r="I139" s="114"/>
    </row>
    <row r="140" spans="1:9" ht="45">
      <c r="A140" s="1"/>
      <c r="B140" s="1"/>
      <c r="C140" s="9"/>
      <c r="D140" s="196" t="s">
        <v>1696</v>
      </c>
      <c r="E140" s="9">
        <v>1.5</v>
      </c>
      <c r="F140" s="29" t="s">
        <v>1666</v>
      </c>
      <c r="G140" s="42" t="s">
        <v>1556</v>
      </c>
      <c r="H140" s="122"/>
      <c r="I140" s="114"/>
    </row>
    <row r="141" spans="1:9" ht="45">
      <c r="A141" s="1"/>
      <c r="B141" s="1"/>
      <c r="C141" s="9"/>
      <c r="D141" s="196" t="s">
        <v>1697</v>
      </c>
      <c r="E141" s="9">
        <v>6</v>
      </c>
      <c r="F141" s="29" t="s">
        <v>1666</v>
      </c>
      <c r="G141" s="42" t="s">
        <v>1556</v>
      </c>
      <c r="H141" s="122"/>
      <c r="I141" s="114"/>
    </row>
    <row r="142" spans="1:9" ht="45">
      <c r="A142" s="1"/>
      <c r="B142" s="1"/>
      <c r="C142" s="9"/>
      <c r="D142" s="196" t="s">
        <v>1698</v>
      </c>
      <c r="E142" s="9">
        <v>5.5</v>
      </c>
      <c r="F142" s="29" t="s">
        <v>1666</v>
      </c>
      <c r="G142" s="42" t="s">
        <v>1556</v>
      </c>
      <c r="H142" s="122"/>
      <c r="I142" s="114"/>
    </row>
    <row r="143" spans="1:9" ht="45">
      <c r="A143" s="1"/>
      <c r="B143" s="1"/>
      <c r="C143" s="9"/>
      <c r="D143" s="196" t="s">
        <v>1700</v>
      </c>
      <c r="E143" s="9">
        <v>0.5</v>
      </c>
      <c r="F143" s="225" t="s">
        <v>1738</v>
      </c>
      <c r="G143" s="42" t="s">
        <v>1556</v>
      </c>
      <c r="H143" s="122"/>
      <c r="I143" s="114"/>
    </row>
    <row r="144" spans="1:9" ht="45">
      <c r="A144" s="1"/>
      <c r="B144" s="1"/>
      <c r="C144" s="9"/>
      <c r="D144" s="196" t="s">
        <v>1698</v>
      </c>
      <c r="E144" s="9">
        <v>0.75</v>
      </c>
      <c r="F144" s="225" t="s">
        <v>1738</v>
      </c>
      <c r="G144" s="42" t="s">
        <v>1556</v>
      </c>
      <c r="H144" s="122"/>
      <c r="I144" s="114"/>
    </row>
    <row r="145" spans="1:9" ht="45">
      <c r="A145" s="1"/>
      <c r="B145" s="1"/>
      <c r="C145" s="9"/>
      <c r="D145" s="202" t="s">
        <v>1707</v>
      </c>
      <c r="E145" s="9">
        <v>0.24</v>
      </c>
      <c r="F145" s="225" t="s">
        <v>1703</v>
      </c>
      <c r="G145" s="42" t="s">
        <v>1556</v>
      </c>
      <c r="H145" s="122"/>
      <c r="I145" s="114"/>
    </row>
    <row r="146" spans="1:9" ht="60">
      <c r="A146" s="1"/>
      <c r="B146" s="1"/>
      <c r="C146" s="9"/>
      <c r="D146" s="202" t="s">
        <v>1708</v>
      </c>
      <c r="E146" s="9">
        <v>2.54</v>
      </c>
      <c r="F146" s="225" t="s">
        <v>1703</v>
      </c>
      <c r="G146" s="42" t="s">
        <v>1556</v>
      </c>
      <c r="H146" s="122"/>
      <c r="I146" s="114"/>
    </row>
    <row r="147" spans="1:9" ht="60">
      <c r="A147" s="1"/>
      <c r="B147" s="1"/>
      <c r="C147" s="9"/>
      <c r="D147" s="202" t="s">
        <v>1709</v>
      </c>
      <c r="E147" s="9">
        <v>4.71</v>
      </c>
      <c r="F147" s="225" t="s">
        <v>1703</v>
      </c>
      <c r="G147" s="42" t="s">
        <v>1556</v>
      </c>
      <c r="H147" s="122"/>
      <c r="I147" s="114"/>
    </row>
    <row r="148" spans="1:9" ht="60">
      <c r="A148" s="1"/>
      <c r="B148" s="1"/>
      <c r="C148" s="9"/>
      <c r="D148" s="202" t="s">
        <v>1712</v>
      </c>
      <c r="E148" s="9">
        <v>5.1100000000000003</v>
      </c>
      <c r="F148" s="225" t="s">
        <v>1703</v>
      </c>
      <c r="G148" s="42" t="s">
        <v>1556</v>
      </c>
      <c r="H148" s="122"/>
      <c r="I148" s="114"/>
    </row>
    <row r="149" spans="1:9" ht="45">
      <c r="A149" s="1"/>
      <c r="B149" s="1"/>
      <c r="C149" s="9"/>
      <c r="D149" s="202" t="s">
        <v>1715</v>
      </c>
      <c r="E149" s="9">
        <v>1.21</v>
      </c>
      <c r="F149" s="225" t="s">
        <v>1703</v>
      </c>
      <c r="G149" s="42" t="s">
        <v>1556</v>
      </c>
      <c r="H149" s="122"/>
      <c r="I149" s="114"/>
    </row>
    <row r="150" spans="1:9" ht="45">
      <c r="A150" s="1"/>
      <c r="B150" s="1"/>
      <c r="C150" s="9"/>
      <c r="D150" s="202" t="s">
        <v>1718</v>
      </c>
      <c r="E150" s="9">
        <v>8.6</v>
      </c>
      <c r="F150" s="225" t="s">
        <v>1703</v>
      </c>
      <c r="G150" s="42" t="s">
        <v>1556</v>
      </c>
      <c r="H150" s="122"/>
      <c r="I150" s="114"/>
    </row>
    <row r="151" spans="1:9" ht="45">
      <c r="A151" s="1"/>
      <c r="B151" s="1"/>
      <c r="C151" s="9"/>
      <c r="D151" s="202" t="s">
        <v>1720</v>
      </c>
      <c r="E151" s="9">
        <v>6.18</v>
      </c>
      <c r="F151" s="225" t="s">
        <v>1703</v>
      </c>
      <c r="G151" s="42" t="s">
        <v>1556</v>
      </c>
      <c r="H151" s="122"/>
      <c r="I151" s="114"/>
    </row>
    <row r="152" spans="1:9" ht="45">
      <c r="A152" s="1"/>
      <c r="B152" s="1"/>
      <c r="C152" s="9"/>
      <c r="D152" s="202" t="s">
        <v>1729</v>
      </c>
      <c r="E152" s="9">
        <v>2.2000000000000002</v>
      </c>
      <c r="F152" s="225" t="s">
        <v>1703</v>
      </c>
      <c r="G152" s="42" t="s">
        <v>1556</v>
      </c>
      <c r="H152" s="122"/>
      <c r="I152" s="114"/>
    </row>
    <row r="153" spans="1:9" ht="45">
      <c r="A153" s="1"/>
      <c r="B153" s="1"/>
      <c r="C153" s="9"/>
      <c r="D153" s="202" t="s">
        <v>1740</v>
      </c>
      <c r="E153" s="9">
        <v>3.85</v>
      </c>
      <c r="F153" s="225" t="s">
        <v>1703</v>
      </c>
      <c r="G153" s="42" t="s">
        <v>1556</v>
      </c>
      <c r="H153" s="122"/>
      <c r="I153" s="114"/>
    </row>
    <row r="154" spans="1:9" ht="45">
      <c r="A154" s="1"/>
      <c r="B154" s="1"/>
      <c r="C154" s="9"/>
      <c r="D154" s="202" t="s">
        <v>1742</v>
      </c>
      <c r="E154" s="9">
        <v>8.83</v>
      </c>
      <c r="F154" s="225" t="s">
        <v>1703</v>
      </c>
      <c r="G154" s="42" t="s">
        <v>1556</v>
      </c>
      <c r="H154" s="122"/>
      <c r="I154" s="114"/>
    </row>
    <row r="155" spans="1:9" ht="45">
      <c r="A155" s="1"/>
      <c r="B155" s="1"/>
      <c r="C155" s="9"/>
      <c r="D155" s="202" t="s">
        <v>1747</v>
      </c>
      <c r="E155" s="9">
        <v>6</v>
      </c>
      <c r="F155" s="225" t="s">
        <v>1703</v>
      </c>
      <c r="G155" s="42" t="s">
        <v>1556</v>
      </c>
      <c r="H155" s="122"/>
      <c r="I155" s="114"/>
    </row>
    <row r="156" spans="1:9" ht="45">
      <c r="A156" s="1"/>
      <c r="B156" s="1"/>
      <c r="C156" s="9"/>
      <c r="D156" s="202" t="s">
        <v>1757</v>
      </c>
      <c r="E156" s="9">
        <v>5.5</v>
      </c>
      <c r="F156" s="225" t="s">
        <v>1703</v>
      </c>
      <c r="G156" s="42" t="s">
        <v>1556</v>
      </c>
      <c r="H156" s="122"/>
      <c r="I156" s="114"/>
    </row>
    <row r="157" spans="1:9" ht="45">
      <c r="A157" s="1"/>
      <c r="B157" s="1"/>
      <c r="C157" s="9"/>
      <c r="D157" s="202" t="s">
        <v>1758</v>
      </c>
      <c r="E157" s="9">
        <v>5</v>
      </c>
      <c r="F157" s="225" t="s">
        <v>1703</v>
      </c>
      <c r="G157" s="42" t="s">
        <v>1556</v>
      </c>
      <c r="H157" s="122"/>
      <c r="I157" s="114"/>
    </row>
    <row r="158" spans="1:9" ht="45">
      <c r="A158" s="1"/>
      <c r="B158" s="1"/>
      <c r="C158" s="9"/>
      <c r="D158" s="202" t="s">
        <v>1772</v>
      </c>
      <c r="E158" s="9">
        <v>1.5</v>
      </c>
      <c r="F158" s="225" t="s">
        <v>1703</v>
      </c>
      <c r="G158" s="42" t="s">
        <v>1556</v>
      </c>
      <c r="H158" s="122"/>
      <c r="I158" s="114"/>
    </row>
    <row r="159" spans="1:9" ht="45">
      <c r="A159" s="1"/>
      <c r="B159" s="1"/>
      <c r="C159" s="9"/>
      <c r="D159" s="202" t="s">
        <v>1780</v>
      </c>
      <c r="E159" s="9">
        <v>2</v>
      </c>
      <c r="F159" s="225" t="s">
        <v>1703</v>
      </c>
      <c r="G159" s="42" t="s">
        <v>1556</v>
      </c>
      <c r="H159" s="122"/>
      <c r="I159" s="114"/>
    </row>
    <row r="160" spans="1:9" ht="45">
      <c r="A160" s="1"/>
      <c r="B160" s="1"/>
      <c r="C160" s="9"/>
      <c r="D160" s="202" t="s">
        <v>1804</v>
      </c>
      <c r="E160" s="9">
        <v>1.5</v>
      </c>
      <c r="F160" s="225" t="s">
        <v>1703</v>
      </c>
      <c r="G160" s="42" t="s">
        <v>1556</v>
      </c>
      <c r="H160" s="122"/>
      <c r="I160" s="114"/>
    </row>
    <row r="161" spans="1:9" ht="45">
      <c r="A161" s="1"/>
      <c r="B161" s="1"/>
      <c r="C161" s="9"/>
      <c r="D161" s="202" t="s">
        <v>1811</v>
      </c>
      <c r="E161" s="9">
        <v>2</v>
      </c>
      <c r="F161" s="225" t="s">
        <v>1703</v>
      </c>
      <c r="G161" s="42" t="s">
        <v>1556</v>
      </c>
      <c r="H161" s="122"/>
      <c r="I161" s="114"/>
    </row>
    <row r="162" spans="1:9" ht="45">
      <c r="A162" s="1"/>
      <c r="B162" s="1"/>
      <c r="C162" s="9"/>
      <c r="D162" s="202" t="s">
        <v>1829</v>
      </c>
      <c r="E162" s="9">
        <v>1.5</v>
      </c>
      <c r="F162" s="225" t="s">
        <v>1703</v>
      </c>
      <c r="G162" s="42" t="s">
        <v>1556</v>
      </c>
      <c r="H162" s="122"/>
      <c r="I162" s="114"/>
    </row>
    <row r="163" spans="1:9" ht="45">
      <c r="A163" s="1"/>
      <c r="B163" s="1"/>
      <c r="C163" s="9"/>
      <c r="D163" s="202" t="s">
        <v>1831</v>
      </c>
      <c r="E163" s="9">
        <v>5</v>
      </c>
      <c r="F163" s="225" t="s">
        <v>1703</v>
      </c>
      <c r="G163" s="42" t="s">
        <v>1556</v>
      </c>
      <c r="H163" s="122"/>
      <c r="I163" s="114"/>
    </row>
    <row r="164" spans="1:9" ht="45">
      <c r="A164" s="1"/>
      <c r="B164" s="1"/>
      <c r="C164" s="9"/>
      <c r="D164" s="202" t="s">
        <v>1838</v>
      </c>
      <c r="E164" s="9">
        <v>3</v>
      </c>
      <c r="F164" s="225" t="s">
        <v>1703</v>
      </c>
      <c r="G164" s="42" t="s">
        <v>1556</v>
      </c>
      <c r="H164" s="122"/>
      <c r="I164" s="114"/>
    </row>
    <row r="165" spans="1:9" ht="45">
      <c r="A165" s="1"/>
      <c r="B165" s="1"/>
      <c r="C165" s="9"/>
      <c r="D165" s="202" t="s">
        <v>1842</v>
      </c>
      <c r="E165" s="9">
        <v>6.7</v>
      </c>
      <c r="F165" s="225" t="s">
        <v>1703</v>
      </c>
      <c r="G165" s="42" t="s">
        <v>1556</v>
      </c>
      <c r="H165" s="122"/>
      <c r="I165" s="114"/>
    </row>
    <row r="166" spans="1:9" ht="45">
      <c r="A166" s="1"/>
      <c r="B166" s="1"/>
      <c r="C166" s="9"/>
      <c r="D166" s="202" t="s">
        <v>1843</v>
      </c>
      <c r="E166" s="9">
        <v>5.0999999999999996</v>
      </c>
      <c r="F166" s="225" t="s">
        <v>1703</v>
      </c>
      <c r="G166" s="42" t="s">
        <v>1556</v>
      </c>
      <c r="H166" s="122"/>
      <c r="I166" s="114"/>
    </row>
    <row r="167" spans="1:9" ht="45">
      <c r="A167" s="1"/>
      <c r="B167" s="1"/>
      <c r="C167" s="9"/>
      <c r="D167" s="202" t="s">
        <v>1844</v>
      </c>
      <c r="E167" s="9">
        <v>3.9</v>
      </c>
      <c r="F167" s="225" t="s">
        <v>1703</v>
      </c>
      <c r="G167" s="42" t="s">
        <v>1556</v>
      </c>
      <c r="H167" s="122"/>
      <c r="I167" s="114"/>
    </row>
    <row r="168" spans="1:9" ht="45">
      <c r="A168" s="1"/>
      <c r="B168" s="1"/>
      <c r="C168" s="9"/>
      <c r="D168" s="202" t="s">
        <v>1848</v>
      </c>
      <c r="E168" s="9">
        <v>2.35</v>
      </c>
      <c r="F168" s="225" t="s">
        <v>1703</v>
      </c>
      <c r="G168" s="42" t="s">
        <v>1556</v>
      </c>
      <c r="H168" s="122"/>
      <c r="I168" s="114"/>
    </row>
    <row r="169" spans="1:9" ht="45">
      <c r="A169" s="1"/>
      <c r="B169" s="1"/>
      <c r="C169" s="9"/>
      <c r="D169" s="202" t="s">
        <v>1850</v>
      </c>
      <c r="E169" s="9">
        <v>3.9</v>
      </c>
      <c r="F169" s="225" t="s">
        <v>1703</v>
      </c>
      <c r="G169" s="42" t="s">
        <v>1556</v>
      </c>
      <c r="H169" s="122"/>
      <c r="I169" s="114"/>
    </row>
    <row r="170" spans="1:9" ht="45">
      <c r="A170" s="1"/>
      <c r="B170" s="1"/>
      <c r="C170" s="269" t="s">
        <v>1921</v>
      </c>
      <c r="D170" s="226" t="s">
        <v>1894</v>
      </c>
      <c r="E170" s="9">
        <v>5.0999999999999996</v>
      </c>
      <c r="F170" s="75" t="s">
        <v>1919</v>
      </c>
      <c r="G170" s="225" t="s">
        <v>1504</v>
      </c>
      <c r="H170" s="122"/>
      <c r="I170" s="114"/>
    </row>
    <row r="171" spans="1:9" ht="45">
      <c r="A171" s="1"/>
      <c r="B171" s="1"/>
      <c r="C171" s="269"/>
      <c r="D171" s="226" t="s">
        <v>1898</v>
      </c>
      <c r="E171" s="9">
        <v>3.5</v>
      </c>
      <c r="F171" s="75" t="s">
        <v>1919</v>
      </c>
      <c r="G171" s="225" t="s">
        <v>1504</v>
      </c>
      <c r="H171" s="122"/>
      <c r="I171" s="114"/>
    </row>
    <row r="172" spans="1:9" ht="45">
      <c r="A172" s="1"/>
      <c r="B172" s="1"/>
      <c r="C172" s="269"/>
      <c r="D172" s="226" t="s">
        <v>1896</v>
      </c>
      <c r="E172" s="9">
        <v>24.6</v>
      </c>
      <c r="F172" s="75" t="s">
        <v>1919</v>
      </c>
      <c r="G172" s="225" t="s">
        <v>1504</v>
      </c>
      <c r="H172" s="122"/>
      <c r="I172" s="114"/>
    </row>
    <row r="173" spans="1:9" ht="30">
      <c r="A173" s="1"/>
      <c r="B173" s="1"/>
      <c r="C173" s="9"/>
      <c r="D173" s="226" t="s">
        <v>1934</v>
      </c>
      <c r="E173" s="9"/>
      <c r="F173" s="225"/>
      <c r="G173" s="42"/>
      <c r="H173" s="122"/>
      <c r="I173" s="114"/>
    </row>
    <row r="174" spans="1:9" ht="15.75">
      <c r="A174" s="1"/>
      <c r="B174" s="1"/>
      <c r="C174" s="1" t="s">
        <v>12</v>
      </c>
      <c r="D174" s="93"/>
      <c r="E174" s="103">
        <f>SUM(E115:E173)</f>
        <v>294.67000000000007</v>
      </c>
      <c r="F174" s="225"/>
      <c r="G174" s="1"/>
    </row>
    <row r="175" spans="1:9" ht="15.75">
      <c r="A175" s="1"/>
      <c r="B175" s="1"/>
      <c r="C175" s="1" t="s">
        <v>150</v>
      </c>
      <c r="D175" s="93"/>
      <c r="E175" s="103">
        <f>E174+E114+E105+E97+E90+E79+E71+E60+E52+E46+E24+E13</f>
        <v>527.49000000000012</v>
      </c>
      <c r="F175" s="225"/>
      <c r="G175" s="1"/>
    </row>
    <row r="176" spans="1:9">
      <c r="B176" t="s">
        <v>1319</v>
      </c>
    </row>
    <row r="179" spans="4:5">
      <c r="D179" s="6"/>
    </row>
    <row r="180" spans="4:5">
      <c r="D180" s="6"/>
    </row>
    <row r="188" spans="4:5">
      <c r="D188" s="6"/>
      <c r="E188" s="7"/>
    </row>
    <row r="189" spans="4:5">
      <c r="D189" s="6"/>
    </row>
    <row r="190" spans="4:5">
      <c r="D190" s="6"/>
    </row>
  </sheetData>
  <mergeCells count="48">
    <mergeCell ref="C115:C118"/>
    <mergeCell ref="C106:C107"/>
    <mergeCell ref="C110:C113"/>
    <mergeCell ref="C98:C101"/>
    <mergeCell ref="C91:C93"/>
    <mergeCell ref="C94:C96"/>
    <mergeCell ref="C102:C103"/>
    <mergeCell ref="A1:G1"/>
    <mergeCell ref="A2:G2"/>
    <mergeCell ref="A14:A24"/>
    <mergeCell ref="B14:B24"/>
    <mergeCell ref="C20:C23"/>
    <mergeCell ref="A4:A13"/>
    <mergeCell ref="C4:C6"/>
    <mergeCell ref="B4:B13"/>
    <mergeCell ref="C7:C11"/>
    <mergeCell ref="B25:B46"/>
    <mergeCell ref="A80:A90"/>
    <mergeCell ref="B80:B90"/>
    <mergeCell ref="C80:C86"/>
    <mergeCell ref="C72:C74"/>
    <mergeCell ref="B47:B52"/>
    <mergeCell ref="C61:C65"/>
    <mergeCell ref="C53:C55"/>
    <mergeCell ref="C33:C44"/>
    <mergeCell ref="C66:C69"/>
    <mergeCell ref="C87:C89"/>
    <mergeCell ref="A91:A97"/>
    <mergeCell ref="A72:A79"/>
    <mergeCell ref="B72:B79"/>
    <mergeCell ref="B91:B97"/>
    <mergeCell ref="B98:B105"/>
    <mergeCell ref="C170:C172"/>
    <mergeCell ref="A106:A114"/>
    <mergeCell ref="B106:B114"/>
    <mergeCell ref="C14:C19"/>
    <mergeCell ref="C56:C59"/>
    <mergeCell ref="C76:C78"/>
    <mergeCell ref="A25:A46"/>
    <mergeCell ref="C108:C109"/>
    <mergeCell ref="B53:B60"/>
    <mergeCell ref="A53:A60"/>
    <mergeCell ref="C25:C32"/>
    <mergeCell ref="C48:C50"/>
    <mergeCell ref="B61:B71"/>
    <mergeCell ref="A62:A71"/>
    <mergeCell ref="A47:A52"/>
    <mergeCell ref="A98:A105"/>
  </mergeCells>
  <pageMargins left="0.7" right="0.32" top="0.4" bottom="0.45" header="0.3" footer="0.3"/>
  <pageSetup paperSize="9"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76"/>
  <sheetViews>
    <sheetView topLeftCell="A61" workbookViewId="0">
      <selection activeCell="G70" sqref="G70"/>
    </sheetView>
  </sheetViews>
  <sheetFormatPr defaultRowHeight="15"/>
  <cols>
    <col min="1" max="1" width="6.28515625" customWidth="1"/>
    <col min="2" max="2" width="13.7109375" customWidth="1"/>
    <col min="3" max="3" width="15.5703125" customWidth="1"/>
    <col min="4" max="4" width="47.28515625" customWidth="1"/>
    <col min="5" max="5" width="9.7109375" customWidth="1"/>
    <col min="6" max="6" width="29.42578125" customWidth="1"/>
    <col min="7" max="7" width="17.5703125" customWidth="1"/>
    <col min="9" max="9" width="17" customWidth="1"/>
    <col min="10" max="10" width="15.28515625" customWidth="1"/>
  </cols>
  <sheetData>
    <row r="1" spans="1:9" ht="21">
      <c r="A1" s="255" t="s">
        <v>55</v>
      </c>
      <c r="B1" s="256"/>
      <c r="C1" s="256"/>
      <c r="D1" s="256"/>
      <c r="E1" s="256"/>
      <c r="F1" s="256"/>
      <c r="G1" s="256"/>
    </row>
    <row r="2" spans="1:9" ht="15.75">
      <c r="A2" s="257" t="s">
        <v>271</v>
      </c>
      <c r="B2" s="257"/>
      <c r="C2" s="257"/>
      <c r="D2" s="257"/>
      <c r="E2" s="257"/>
      <c r="F2" s="257"/>
      <c r="G2" s="257"/>
    </row>
    <row r="3" spans="1:9" s="7" customFormat="1" ht="30" customHeight="1">
      <c r="A3" s="3" t="s">
        <v>0</v>
      </c>
      <c r="B3" s="3" t="s">
        <v>10</v>
      </c>
      <c r="C3" s="3" t="s">
        <v>11</v>
      </c>
      <c r="D3" s="3" t="s">
        <v>54</v>
      </c>
      <c r="E3" s="3" t="s">
        <v>59</v>
      </c>
      <c r="F3" s="3" t="s">
        <v>1473</v>
      </c>
      <c r="G3" s="3" t="s">
        <v>57</v>
      </c>
      <c r="H3" s="6"/>
      <c r="I3" s="6"/>
    </row>
    <row r="4" spans="1:9" ht="144.75" customHeight="1">
      <c r="A4" s="251" t="s">
        <v>1</v>
      </c>
      <c r="B4" s="247" t="s">
        <v>272</v>
      </c>
      <c r="C4" s="244" t="s">
        <v>503</v>
      </c>
      <c r="D4" s="59" t="s">
        <v>992</v>
      </c>
      <c r="E4" s="60">
        <v>2</v>
      </c>
      <c r="F4" s="6" t="s">
        <v>1485</v>
      </c>
      <c r="G4" s="61" t="s">
        <v>1000</v>
      </c>
      <c r="H4" s="4"/>
      <c r="I4" s="4"/>
    </row>
    <row r="5" spans="1:9" ht="29.25" customHeight="1">
      <c r="A5" s="251"/>
      <c r="B5" s="247"/>
      <c r="C5" s="245"/>
      <c r="D5" s="37" t="s">
        <v>1159</v>
      </c>
      <c r="E5" s="5">
        <v>0.2</v>
      </c>
      <c r="F5" s="5" t="s">
        <v>1116</v>
      </c>
      <c r="G5" s="61" t="s">
        <v>1503</v>
      </c>
      <c r="H5" s="4"/>
      <c r="I5" s="4"/>
    </row>
    <row r="6" spans="1:9" ht="31.5" customHeight="1">
      <c r="A6" s="251"/>
      <c r="B6" s="247"/>
      <c r="C6" s="245"/>
      <c r="D6" s="37" t="s">
        <v>1161</v>
      </c>
      <c r="E6" s="5">
        <v>0.2</v>
      </c>
      <c r="F6" s="5" t="s">
        <v>1116</v>
      </c>
      <c r="G6" s="61" t="s">
        <v>1503</v>
      </c>
      <c r="H6" s="4"/>
      <c r="I6" s="4"/>
    </row>
    <row r="7" spans="1:9" ht="30.75" customHeight="1">
      <c r="A7" s="251"/>
      <c r="B7" s="247"/>
      <c r="C7" s="245"/>
      <c r="D7" s="37" t="s">
        <v>1163</v>
      </c>
      <c r="E7" s="5">
        <v>0.2</v>
      </c>
      <c r="F7" s="5" t="s">
        <v>1116</v>
      </c>
      <c r="G7" s="61" t="s">
        <v>1503</v>
      </c>
      <c r="H7" s="4"/>
      <c r="I7" s="4"/>
    </row>
    <row r="8" spans="1:9" ht="30.75" customHeight="1">
      <c r="A8" s="251"/>
      <c r="B8" s="247"/>
      <c r="C8" s="245"/>
      <c r="D8" s="5" t="s">
        <v>1366</v>
      </c>
      <c r="E8" s="9">
        <v>0.5</v>
      </c>
      <c r="F8" s="9" t="s">
        <v>1344</v>
      </c>
      <c r="G8" s="5" t="s">
        <v>92</v>
      </c>
      <c r="H8" s="4"/>
      <c r="I8" s="4"/>
    </row>
    <row r="9" spans="1:9" ht="32.25" customHeight="1">
      <c r="A9" s="251"/>
      <c r="B9" s="247"/>
      <c r="C9" s="246"/>
      <c r="D9" s="171" t="s">
        <v>1519</v>
      </c>
      <c r="E9" s="115">
        <v>87</v>
      </c>
      <c r="F9" s="115" t="s">
        <v>1520</v>
      </c>
      <c r="G9" s="172" t="s">
        <v>1521</v>
      </c>
      <c r="H9" s="4"/>
      <c r="I9" s="4">
        <v>86974618.939999998</v>
      </c>
    </row>
    <row r="10" spans="1:9" ht="17.25" customHeight="1">
      <c r="A10" s="251"/>
      <c r="B10" s="247"/>
      <c r="C10" s="8" t="s">
        <v>12</v>
      </c>
      <c r="D10" s="1"/>
      <c r="E10" s="86">
        <f>SUM(E4:E9)</f>
        <v>90.1</v>
      </c>
      <c r="F10" s="5"/>
      <c r="G10" s="5"/>
      <c r="H10" s="4"/>
      <c r="I10" s="4"/>
    </row>
    <row r="11" spans="1:9" ht="75">
      <c r="A11" s="251" t="s">
        <v>2</v>
      </c>
      <c r="B11" s="247" t="s">
        <v>273</v>
      </c>
      <c r="C11" s="247" t="s">
        <v>273</v>
      </c>
      <c r="D11" s="34" t="s">
        <v>918</v>
      </c>
      <c r="E11" s="46">
        <v>2</v>
      </c>
      <c r="F11" s="6" t="s">
        <v>1485</v>
      </c>
      <c r="G11" s="44" t="s">
        <v>958</v>
      </c>
      <c r="H11" s="4"/>
      <c r="I11" s="4"/>
    </row>
    <row r="12" spans="1:9" ht="144" customHeight="1">
      <c r="A12" s="251"/>
      <c r="B12" s="247"/>
      <c r="C12" s="247"/>
      <c r="D12" s="35" t="s">
        <v>943</v>
      </c>
      <c r="E12" s="47">
        <v>0.5</v>
      </c>
      <c r="F12" s="6" t="s">
        <v>1485</v>
      </c>
      <c r="G12" s="44" t="s">
        <v>958</v>
      </c>
      <c r="H12" s="4"/>
      <c r="I12" s="4"/>
    </row>
    <row r="13" spans="1:9" ht="75">
      <c r="A13" s="251"/>
      <c r="B13" s="247"/>
      <c r="C13" s="247"/>
      <c r="D13" s="59" t="s">
        <v>994</v>
      </c>
      <c r="E13" s="60">
        <v>2</v>
      </c>
      <c r="F13" s="6" t="s">
        <v>1485</v>
      </c>
      <c r="G13" s="61" t="s">
        <v>1000</v>
      </c>
      <c r="H13" s="4"/>
      <c r="I13" s="4"/>
    </row>
    <row r="14" spans="1:9" ht="30">
      <c r="A14" s="251"/>
      <c r="B14" s="247"/>
      <c r="C14" s="247"/>
      <c r="D14" s="37" t="s">
        <v>1160</v>
      </c>
      <c r="E14" s="5">
        <v>0.15</v>
      </c>
      <c r="F14" s="5" t="s">
        <v>1116</v>
      </c>
      <c r="G14" s="61" t="s">
        <v>1503</v>
      </c>
      <c r="H14" s="4"/>
      <c r="I14" s="4"/>
    </row>
    <row r="15" spans="1:9" ht="63">
      <c r="A15" s="251"/>
      <c r="B15" s="247"/>
      <c r="C15" s="247"/>
      <c r="D15" s="78" t="s">
        <v>1362</v>
      </c>
      <c r="E15" s="9">
        <v>0.7</v>
      </c>
      <c r="F15" s="5" t="s">
        <v>1344</v>
      </c>
      <c r="G15" s="5" t="s">
        <v>92</v>
      </c>
      <c r="H15" s="4"/>
      <c r="I15" s="4"/>
    </row>
    <row r="16" spans="1:9">
      <c r="A16" s="251"/>
      <c r="B16" s="247"/>
      <c r="C16" s="8" t="s">
        <v>12</v>
      </c>
      <c r="D16" s="8"/>
      <c r="E16" s="86">
        <f>SUM(E11:E15)</f>
        <v>5.3500000000000005</v>
      </c>
      <c r="F16" s="5"/>
      <c r="G16" s="5"/>
      <c r="H16" s="4"/>
      <c r="I16" s="4"/>
    </row>
    <row r="17" spans="1:10" ht="60">
      <c r="A17" s="251" t="s">
        <v>3</v>
      </c>
      <c r="B17" s="247" t="s">
        <v>274</v>
      </c>
      <c r="C17" s="247" t="s">
        <v>274</v>
      </c>
      <c r="D17" s="8" t="s">
        <v>584</v>
      </c>
      <c r="E17" s="5">
        <v>30</v>
      </c>
      <c r="F17" s="5" t="s">
        <v>1426</v>
      </c>
      <c r="G17" s="5" t="s">
        <v>626</v>
      </c>
      <c r="H17" s="4"/>
      <c r="I17" s="7" t="s">
        <v>1398</v>
      </c>
      <c r="J17" s="7" t="s">
        <v>1398</v>
      </c>
    </row>
    <row r="18" spans="1:10" ht="60">
      <c r="A18" s="251"/>
      <c r="B18" s="247"/>
      <c r="C18" s="247"/>
      <c r="D18" s="8" t="s">
        <v>585</v>
      </c>
      <c r="E18" s="8">
        <v>3</v>
      </c>
      <c r="F18" s="5" t="s">
        <v>1426</v>
      </c>
      <c r="G18" s="5" t="s">
        <v>626</v>
      </c>
      <c r="H18" s="4"/>
      <c r="I18" s="7" t="s">
        <v>1398</v>
      </c>
      <c r="J18" s="7" t="s">
        <v>1398</v>
      </c>
    </row>
    <row r="19" spans="1:10" ht="60">
      <c r="A19" s="251"/>
      <c r="B19" s="247"/>
      <c r="C19" s="247"/>
      <c r="D19" s="8" t="s">
        <v>586</v>
      </c>
      <c r="E19" s="8">
        <v>3</v>
      </c>
      <c r="F19" s="5" t="s">
        <v>1426</v>
      </c>
      <c r="G19" s="5" t="s">
        <v>626</v>
      </c>
      <c r="H19" s="4"/>
      <c r="I19" s="7" t="s">
        <v>1398</v>
      </c>
    </row>
    <row r="20" spans="1:10" ht="75">
      <c r="A20" s="251"/>
      <c r="B20" s="247"/>
      <c r="C20" s="247"/>
      <c r="D20" s="59" t="s">
        <v>990</v>
      </c>
      <c r="E20" s="60">
        <v>2</v>
      </c>
      <c r="F20" s="6" t="s">
        <v>1485</v>
      </c>
      <c r="G20" s="61" t="s">
        <v>1000</v>
      </c>
      <c r="H20" s="4"/>
      <c r="I20" s="4"/>
    </row>
    <row r="21" spans="1:10" ht="69" customHeight="1">
      <c r="A21" s="251"/>
      <c r="B21" s="247"/>
      <c r="C21" s="247"/>
      <c r="D21" s="59" t="s">
        <v>991</v>
      </c>
      <c r="E21" s="60">
        <v>1</v>
      </c>
      <c r="F21" s="5" t="s">
        <v>1485</v>
      </c>
      <c r="G21" s="61" t="s">
        <v>1000</v>
      </c>
      <c r="H21" s="4"/>
      <c r="I21" s="4"/>
    </row>
    <row r="22" spans="1:10" ht="79.5" customHeight="1">
      <c r="A22" s="251"/>
      <c r="B22" s="247"/>
      <c r="C22" s="247"/>
      <c r="D22" s="59" t="s">
        <v>996</v>
      </c>
      <c r="E22" s="60">
        <v>2</v>
      </c>
      <c r="F22" s="6" t="s">
        <v>1485</v>
      </c>
      <c r="G22" s="61" t="s">
        <v>1000</v>
      </c>
      <c r="H22" s="4"/>
      <c r="I22" s="4"/>
    </row>
    <row r="23" spans="1:10" ht="75">
      <c r="A23" s="251"/>
      <c r="B23" s="247"/>
      <c r="C23" s="247"/>
      <c r="D23" s="59" t="s">
        <v>999</v>
      </c>
      <c r="E23" s="60">
        <v>1</v>
      </c>
      <c r="F23" s="5" t="s">
        <v>1485</v>
      </c>
      <c r="G23" s="61" t="s">
        <v>1000</v>
      </c>
      <c r="H23" s="4"/>
      <c r="I23" s="4"/>
    </row>
    <row r="24" spans="1:10" ht="30">
      <c r="A24" s="251"/>
      <c r="B24" s="247"/>
      <c r="C24" s="247"/>
      <c r="D24" s="67" t="s">
        <v>1120</v>
      </c>
      <c r="E24" s="60">
        <v>1</v>
      </c>
      <c r="F24" s="5" t="s">
        <v>1116</v>
      </c>
      <c r="G24" s="15" t="s">
        <v>783</v>
      </c>
      <c r="H24" s="4"/>
      <c r="I24" s="4"/>
    </row>
    <row r="25" spans="1:10" ht="30">
      <c r="A25" s="251"/>
      <c r="B25" s="247"/>
      <c r="C25" s="247"/>
      <c r="D25" s="37" t="s">
        <v>1162</v>
      </c>
      <c r="E25" s="5">
        <v>0.2</v>
      </c>
      <c r="F25" s="5" t="s">
        <v>1116</v>
      </c>
      <c r="G25" s="15" t="s">
        <v>1503</v>
      </c>
      <c r="H25" s="4"/>
      <c r="I25" s="4"/>
    </row>
    <row r="26" spans="1:10" ht="30">
      <c r="A26" s="251"/>
      <c r="B26" s="247"/>
      <c r="C26" s="247"/>
      <c r="D26" s="5" t="s">
        <v>1365</v>
      </c>
      <c r="E26" s="9">
        <v>0.5</v>
      </c>
      <c r="F26" s="9" t="s">
        <v>1344</v>
      </c>
      <c r="G26" s="5" t="s">
        <v>92</v>
      </c>
      <c r="H26" s="4"/>
      <c r="I26" s="4"/>
    </row>
    <row r="27" spans="1:10" ht="47.25">
      <c r="A27" s="251"/>
      <c r="B27" s="247"/>
      <c r="C27" s="247"/>
      <c r="D27" s="20" t="s">
        <v>1354</v>
      </c>
      <c r="E27" s="9">
        <v>4</v>
      </c>
      <c r="F27" s="9" t="s">
        <v>1344</v>
      </c>
      <c r="G27" s="5" t="s">
        <v>92</v>
      </c>
      <c r="H27" s="4"/>
      <c r="I27" s="4"/>
    </row>
    <row r="28" spans="1:10">
      <c r="A28" s="251"/>
      <c r="B28" s="247"/>
      <c r="C28" s="80" t="s">
        <v>12</v>
      </c>
      <c r="D28" s="1"/>
      <c r="E28" s="13">
        <f>SUM(E17:E27)</f>
        <v>47.7</v>
      </c>
      <c r="F28" s="13"/>
      <c r="G28" s="13"/>
      <c r="H28" s="4"/>
      <c r="I28" s="4"/>
    </row>
    <row r="29" spans="1:10" ht="30">
      <c r="A29" s="251" t="s">
        <v>4</v>
      </c>
      <c r="B29" s="247" t="s">
        <v>275</v>
      </c>
      <c r="C29" s="244" t="s">
        <v>503</v>
      </c>
      <c r="D29" s="76" t="s">
        <v>1318</v>
      </c>
      <c r="E29" s="9">
        <v>2</v>
      </c>
      <c r="F29" s="5" t="s">
        <v>1418</v>
      </c>
      <c r="G29" s="5" t="s">
        <v>92</v>
      </c>
      <c r="H29" s="4"/>
      <c r="I29" s="4"/>
    </row>
    <row r="30" spans="1:10" ht="63">
      <c r="A30" s="251"/>
      <c r="B30" s="247"/>
      <c r="C30" s="245"/>
      <c r="D30" s="78" t="s">
        <v>1361</v>
      </c>
      <c r="E30" s="9">
        <v>0.8</v>
      </c>
      <c r="F30" s="5" t="s">
        <v>1344</v>
      </c>
      <c r="G30" s="5" t="s">
        <v>92</v>
      </c>
      <c r="H30" s="4"/>
      <c r="I30" s="4"/>
    </row>
    <row r="31" spans="1:10" ht="30">
      <c r="A31" s="251"/>
      <c r="B31" s="247"/>
      <c r="C31" s="245"/>
      <c r="D31" s="5" t="s">
        <v>1364</v>
      </c>
      <c r="E31" s="9">
        <v>0.5</v>
      </c>
      <c r="F31" s="9" t="s">
        <v>1344</v>
      </c>
      <c r="G31" s="5" t="s">
        <v>92</v>
      </c>
      <c r="H31" s="4"/>
      <c r="I31" s="4"/>
    </row>
    <row r="32" spans="1:10" ht="47.25">
      <c r="A32" s="251"/>
      <c r="B32" s="247"/>
      <c r="C32" s="245"/>
      <c r="D32" s="187" t="s">
        <v>1580</v>
      </c>
      <c r="E32" s="173">
        <v>0.18</v>
      </c>
      <c r="F32" s="187" t="s">
        <v>1581</v>
      </c>
      <c r="G32" s="78" t="s">
        <v>1556</v>
      </c>
      <c r="H32" s="4"/>
      <c r="I32" s="4"/>
    </row>
    <row r="33" spans="1:10" ht="47.25">
      <c r="A33" s="251"/>
      <c r="B33" s="247"/>
      <c r="C33" s="246"/>
      <c r="D33" s="187" t="s">
        <v>1582</v>
      </c>
      <c r="E33" s="173">
        <v>0.18</v>
      </c>
      <c r="F33" s="187" t="s">
        <v>1581</v>
      </c>
      <c r="G33" s="78" t="s">
        <v>1556</v>
      </c>
      <c r="H33" s="6"/>
      <c r="I33" s="6"/>
      <c r="J33" s="6"/>
    </row>
    <row r="34" spans="1:10">
      <c r="A34" s="251"/>
      <c r="B34" s="247"/>
      <c r="C34" s="8" t="s">
        <v>12</v>
      </c>
      <c r="D34" s="8"/>
      <c r="E34" s="5">
        <f>SUM(E29:E33)</f>
        <v>3.66</v>
      </c>
      <c r="F34" s="5"/>
      <c r="G34" s="5"/>
      <c r="H34" s="4"/>
      <c r="I34" s="4"/>
    </row>
    <row r="35" spans="1:10" ht="75">
      <c r="A35" s="251" t="s">
        <v>5</v>
      </c>
      <c r="B35" s="247" t="s">
        <v>276</v>
      </c>
      <c r="C35" s="247" t="s">
        <v>276</v>
      </c>
      <c r="D35" s="65" t="s">
        <v>1096</v>
      </c>
      <c r="E35" s="62">
        <v>2</v>
      </c>
      <c r="F35" s="5" t="s">
        <v>1485</v>
      </c>
      <c r="G35" s="5" t="s">
        <v>1078</v>
      </c>
      <c r="H35" s="4"/>
      <c r="I35" s="4"/>
    </row>
    <row r="36" spans="1:10" ht="75">
      <c r="A36" s="251"/>
      <c r="B36" s="247"/>
      <c r="C36" s="247"/>
      <c r="D36" s="65" t="s">
        <v>1097</v>
      </c>
      <c r="E36" s="62">
        <v>1.5</v>
      </c>
      <c r="F36" s="5" t="s">
        <v>1485</v>
      </c>
      <c r="G36" s="5" t="s">
        <v>1078</v>
      </c>
      <c r="H36" s="4"/>
      <c r="I36" s="4"/>
    </row>
    <row r="37" spans="1:10" ht="75">
      <c r="A37" s="251"/>
      <c r="B37" s="247"/>
      <c r="C37" s="247"/>
      <c r="D37" s="33" t="s">
        <v>1111</v>
      </c>
      <c r="E37" s="62">
        <v>1.4</v>
      </c>
      <c r="F37" s="5" t="s">
        <v>1485</v>
      </c>
      <c r="G37" s="5" t="s">
        <v>1078</v>
      </c>
      <c r="H37" s="4"/>
      <c r="I37" s="4"/>
    </row>
    <row r="38" spans="1:10" ht="78" customHeight="1">
      <c r="A38" s="251"/>
      <c r="B38" s="247"/>
      <c r="C38" s="247"/>
      <c r="D38" s="59" t="s">
        <v>993</v>
      </c>
      <c r="E38" s="60">
        <v>2</v>
      </c>
      <c r="F38" s="5" t="s">
        <v>1485</v>
      </c>
      <c r="G38" s="61" t="s">
        <v>1000</v>
      </c>
      <c r="H38" s="4"/>
      <c r="I38" s="4"/>
    </row>
    <row r="39" spans="1:10" ht="84.75" customHeight="1">
      <c r="A39" s="251"/>
      <c r="B39" s="247"/>
      <c r="C39" s="247"/>
      <c r="D39" s="59" t="s">
        <v>1500</v>
      </c>
      <c r="E39" s="60">
        <v>2</v>
      </c>
      <c r="F39" s="5" t="s">
        <v>1485</v>
      </c>
      <c r="G39" s="61" t="s">
        <v>1000</v>
      </c>
      <c r="H39" s="4"/>
      <c r="I39" s="4"/>
    </row>
    <row r="40" spans="1:10" ht="71.25" customHeight="1">
      <c r="A40" s="251"/>
      <c r="B40" s="247"/>
      <c r="C40" s="247"/>
      <c r="D40" s="59" t="s">
        <v>995</v>
      </c>
      <c r="E40" s="60">
        <v>2</v>
      </c>
      <c r="F40" s="5" t="s">
        <v>1485</v>
      </c>
      <c r="G40" s="61" t="s">
        <v>1000</v>
      </c>
      <c r="H40" s="4"/>
      <c r="I40" s="4"/>
    </row>
    <row r="41" spans="1:10" ht="30">
      <c r="A41" s="251"/>
      <c r="B41" s="247"/>
      <c r="C41" s="247"/>
      <c r="D41" s="59" t="s">
        <v>997</v>
      </c>
      <c r="E41" s="60">
        <v>2</v>
      </c>
      <c r="F41" s="5" t="s">
        <v>986</v>
      </c>
      <c r="G41" s="61" t="s">
        <v>1000</v>
      </c>
      <c r="H41" s="4"/>
      <c r="I41" s="4"/>
    </row>
    <row r="42" spans="1:10">
      <c r="A42" s="251"/>
      <c r="B42" s="247"/>
      <c r="C42" s="80" t="s">
        <v>12</v>
      </c>
      <c r="D42" s="16"/>
      <c r="E42" s="231">
        <f>SUM(E35:E41)</f>
        <v>12.9</v>
      </c>
      <c r="F42" s="13"/>
      <c r="G42" s="12"/>
      <c r="H42" s="4"/>
      <c r="I42" s="4"/>
    </row>
    <row r="43" spans="1:10" ht="75">
      <c r="A43" s="251" t="s">
        <v>6</v>
      </c>
      <c r="B43" s="247" t="s">
        <v>277</v>
      </c>
      <c r="C43" s="247" t="s">
        <v>276</v>
      </c>
      <c r="D43" s="34" t="s">
        <v>916</v>
      </c>
      <c r="E43" s="46">
        <v>2</v>
      </c>
      <c r="F43" s="6" t="s">
        <v>1485</v>
      </c>
      <c r="G43" s="44" t="s">
        <v>958</v>
      </c>
      <c r="H43" s="4"/>
      <c r="I43" s="4"/>
    </row>
    <row r="44" spans="1:10" ht="75">
      <c r="A44" s="251"/>
      <c r="B44" s="247"/>
      <c r="C44" s="247"/>
      <c r="D44" s="35" t="s">
        <v>935</v>
      </c>
      <c r="E44" s="47">
        <v>2</v>
      </c>
      <c r="F44" s="6" t="s">
        <v>1485</v>
      </c>
      <c r="G44" s="44" t="s">
        <v>958</v>
      </c>
      <c r="H44" s="4"/>
      <c r="I44" s="4"/>
    </row>
    <row r="45" spans="1:10">
      <c r="A45" s="251"/>
      <c r="B45" s="247"/>
      <c r="C45" s="8" t="s">
        <v>12</v>
      </c>
      <c r="D45" s="8"/>
      <c r="E45" s="86">
        <f>SUM(E43:E44)</f>
        <v>4</v>
      </c>
      <c r="F45" s="5"/>
      <c r="G45" s="5"/>
      <c r="H45" s="4"/>
      <c r="I45" s="4"/>
    </row>
    <row r="46" spans="1:10" ht="77.25" customHeight="1">
      <c r="A46" s="251" t="s">
        <v>7</v>
      </c>
      <c r="B46" s="247" t="s">
        <v>278</v>
      </c>
      <c r="C46" s="247" t="s">
        <v>504</v>
      </c>
      <c r="D46" s="59" t="s">
        <v>1501</v>
      </c>
      <c r="E46" s="62">
        <v>1.5</v>
      </c>
      <c r="F46" s="5" t="s">
        <v>1485</v>
      </c>
      <c r="G46" s="61" t="s">
        <v>1000</v>
      </c>
      <c r="H46" s="4"/>
      <c r="I46" s="4"/>
    </row>
    <row r="47" spans="1:10" ht="75">
      <c r="A47" s="251"/>
      <c r="B47" s="247"/>
      <c r="C47" s="247"/>
      <c r="D47" s="59" t="s">
        <v>998</v>
      </c>
      <c r="E47" s="60">
        <v>1</v>
      </c>
      <c r="F47" s="5" t="s">
        <v>1485</v>
      </c>
      <c r="G47" s="61" t="s">
        <v>1000</v>
      </c>
      <c r="H47" s="4"/>
      <c r="I47" s="4"/>
    </row>
    <row r="48" spans="1:10" ht="30">
      <c r="A48" s="251"/>
      <c r="B48" s="247"/>
      <c r="C48" s="247"/>
      <c r="D48" s="76" t="s">
        <v>1317</v>
      </c>
      <c r="E48" s="9">
        <v>2</v>
      </c>
      <c r="F48" s="5" t="s">
        <v>1418</v>
      </c>
      <c r="G48" s="5" t="s">
        <v>92</v>
      </c>
      <c r="H48" s="4"/>
      <c r="I48" s="4"/>
    </row>
    <row r="49" spans="1:10" ht="20.25" customHeight="1">
      <c r="A49" s="251"/>
      <c r="B49" s="247"/>
      <c r="C49" s="80" t="s">
        <v>12</v>
      </c>
      <c r="D49" s="16"/>
      <c r="E49" s="107">
        <f>SUM(E46:E48)</f>
        <v>4.5</v>
      </c>
      <c r="F49" s="15"/>
      <c r="G49" s="21"/>
      <c r="H49" s="4"/>
      <c r="I49" s="4"/>
    </row>
    <row r="50" spans="1:10" ht="105">
      <c r="A50" s="1"/>
      <c r="B50" s="1"/>
      <c r="C50" s="266" t="s">
        <v>660</v>
      </c>
      <c r="D50" s="5" t="s">
        <v>656</v>
      </c>
      <c r="E50" s="9">
        <v>0.8</v>
      </c>
      <c r="F50" s="5" t="s">
        <v>657</v>
      </c>
      <c r="G50" s="5" t="s">
        <v>657</v>
      </c>
      <c r="I50" s="5" t="s">
        <v>1426</v>
      </c>
      <c r="J50" s="115" t="s">
        <v>1398</v>
      </c>
    </row>
    <row r="51" spans="1:10" ht="105">
      <c r="A51" s="1"/>
      <c r="B51" s="1"/>
      <c r="C51" s="266"/>
      <c r="D51" s="5" t="s">
        <v>661</v>
      </c>
      <c r="E51" s="9">
        <v>0.5</v>
      </c>
      <c r="F51" s="5" t="s">
        <v>657</v>
      </c>
      <c r="G51" s="5" t="s">
        <v>657</v>
      </c>
      <c r="I51" s="5" t="s">
        <v>1426</v>
      </c>
      <c r="J51" s="115" t="s">
        <v>1398</v>
      </c>
    </row>
    <row r="52" spans="1:10" ht="105">
      <c r="A52" s="1"/>
      <c r="B52" s="1"/>
      <c r="C52" s="266"/>
      <c r="D52" s="5" t="s">
        <v>658</v>
      </c>
      <c r="E52" s="9">
        <v>0.75</v>
      </c>
      <c r="F52" s="5" t="s">
        <v>657</v>
      </c>
      <c r="G52" s="5" t="s">
        <v>657</v>
      </c>
      <c r="I52" s="5" t="s">
        <v>1426</v>
      </c>
      <c r="J52" s="115" t="s">
        <v>1398</v>
      </c>
    </row>
    <row r="53" spans="1:10" ht="105">
      <c r="A53" s="1"/>
      <c r="B53" s="1"/>
      <c r="C53" s="266"/>
      <c r="D53" s="5" t="s">
        <v>659</v>
      </c>
      <c r="E53" s="9">
        <v>0.1</v>
      </c>
      <c r="F53" s="5" t="s">
        <v>657</v>
      </c>
      <c r="G53" s="5" t="s">
        <v>657</v>
      </c>
      <c r="I53" s="5" t="s">
        <v>1426</v>
      </c>
      <c r="J53" s="115" t="s">
        <v>1398</v>
      </c>
    </row>
    <row r="54" spans="1:10" ht="30">
      <c r="A54" s="1"/>
      <c r="B54" s="1"/>
      <c r="C54" s="266"/>
      <c r="D54" s="115" t="s">
        <v>1522</v>
      </c>
      <c r="E54" s="173">
        <v>66</v>
      </c>
      <c r="F54" s="115" t="s">
        <v>1520</v>
      </c>
      <c r="G54" s="172" t="s">
        <v>1521</v>
      </c>
      <c r="I54">
        <v>66487934.960000001</v>
      </c>
      <c r="J54">
        <f>I54/1000000</f>
        <v>66.487934960000004</v>
      </c>
    </row>
    <row r="55" spans="1:10" ht="45">
      <c r="A55" s="1"/>
      <c r="B55" s="1"/>
      <c r="C55" s="186"/>
      <c r="D55" s="124" t="s">
        <v>1617</v>
      </c>
      <c r="E55" s="173">
        <v>0.3</v>
      </c>
      <c r="F55" s="188" t="s">
        <v>1616</v>
      </c>
      <c r="G55" s="172" t="s">
        <v>1556</v>
      </c>
    </row>
    <row r="56" spans="1:10" ht="47.25">
      <c r="A56" s="1"/>
      <c r="B56" s="1"/>
      <c r="C56" s="186"/>
      <c r="D56" s="124" t="s">
        <v>1625</v>
      </c>
      <c r="E56" s="36">
        <v>0.15</v>
      </c>
      <c r="F56" s="20" t="s">
        <v>1624</v>
      </c>
      <c r="G56" s="42" t="s">
        <v>1556</v>
      </c>
    </row>
    <row r="57" spans="1:10" ht="45">
      <c r="A57" s="1"/>
      <c r="B57" s="1"/>
      <c r="C57" s="186"/>
      <c r="D57" s="124" t="s">
        <v>1636</v>
      </c>
      <c r="E57" s="36">
        <v>25</v>
      </c>
      <c r="F57" s="196" t="s">
        <v>1630</v>
      </c>
      <c r="G57" s="42" t="s">
        <v>1556</v>
      </c>
    </row>
    <row r="58" spans="1:10" ht="45">
      <c r="A58" s="1"/>
      <c r="B58" s="1"/>
      <c r="C58" s="186"/>
      <c r="D58" s="124" t="s">
        <v>1641</v>
      </c>
      <c r="E58" s="36">
        <v>15</v>
      </c>
      <c r="F58" s="196" t="s">
        <v>1630</v>
      </c>
      <c r="G58" s="42" t="s">
        <v>1556</v>
      </c>
    </row>
    <row r="59" spans="1:10" ht="45">
      <c r="A59" s="1"/>
      <c r="B59" s="1"/>
      <c r="C59" s="186"/>
      <c r="D59" s="202" t="s">
        <v>1777</v>
      </c>
      <c r="E59" s="9">
        <v>5</v>
      </c>
      <c r="F59" s="5" t="s">
        <v>1703</v>
      </c>
      <c r="G59" s="42" t="s">
        <v>1556</v>
      </c>
    </row>
    <row r="60" spans="1:10" ht="45">
      <c r="A60" s="1"/>
      <c r="B60" s="1"/>
      <c r="C60" s="186"/>
      <c r="D60" s="202" t="s">
        <v>1781</v>
      </c>
      <c r="E60" s="9">
        <v>2.5</v>
      </c>
      <c r="F60" s="5" t="s">
        <v>1703</v>
      </c>
      <c r="G60" s="42" t="s">
        <v>1556</v>
      </c>
    </row>
    <row r="61" spans="1:10" ht="45">
      <c r="A61" s="1"/>
      <c r="B61" s="1"/>
      <c r="C61" s="186"/>
      <c r="D61" s="202" t="s">
        <v>1789</v>
      </c>
      <c r="E61" s="9">
        <v>3.5</v>
      </c>
      <c r="F61" s="5" t="s">
        <v>1703</v>
      </c>
      <c r="G61" s="42" t="s">
        <v>1556</v>
      </c>
    </row>
    <row r="62" spans="1:10" ht="45">
      <c r="A62" s="1"/>
      <c r="B62" s="1"/>
      <c r="C62" s="186"/>
      <c r="D62" s="202" t="s">
        <v>1869</v>
      </c>
      <c r="E62" s="9">
        <v>3</v>
      </c>
      <c r="F62" s="5" t="s">
        <v>1703</v>
      </c>
      <c r="G62" s="42" t="s">
        <v>1556</v>
      </c>
    </row>
    <row r="63" spans="1:10" ht="45">
      <c r="A63" s="1"/>
      <c r="B63" s="1"/>
      <c r="C63" s="186"/>
      <c r="D63" s="202" t="s">
        <v>1814</v>
      </c>
      <c r="E63" s="9">
        <v>2</v>
      </c>
      <c r="F63" s="5" t="s">
        <v>1703</v>
      </c>
      <c r="G63" s="42" t="s">
        <v>1556</v>
      </c>
    </row>
    <row r="64" spans="1:10" ht="45">
      <c r="A64" s="1"/>
      <c r="B64" s="1"/>
      <c r="C64" s="203"/>
      <c r="D64" s="202" t="s">
        <v>1819</v>
      </c>
      <c r="E64" s="9">
        <v>2</v>
      </c>
      <c r="F64" s="5" t="s">
        <v>1703</v>
      </c>
      <c r="G64" s="42" t="s">
        <v>1556</v>
      </c>
    </row>
    <row r="65" spans="1:7" ht="45">
      <c r="A65" s="1"/>
      <c r="B65" s="1"/>
      <c r="C65" s="203"/>
      <c r="D65" s="202" t="s">
        <v>1830</v>
      </c>
      <c r="E65" s="9">
        <v>2</v>
      </c>
      <c r="F65" s="5" t="s">
        <v>1703</v>
      </c>
      <c r="G65" s="42" t="s">
        <v>1556</v>
      </c>
    </row>
    <row r="66" spans="1:7">
      <c r="A66" s="1"/>
      <c r="B66" s="1"/>
      <c r="C66" s="1" t="s">
        <v>12</v>
      </c>
      <c r="D66" s="1"/>
      <c r="E66" s="1">
        <f>SUM(E50:E65)</f>
        <v>128.60000000000002</v>
      </c>
      <c r="F66" s="1"/>
      <c r="G66" s="1"/>
    </row>
    <row r="67" spans="1:7">
      <c r="A67" s="1"/>
      <c r="B67" s="1"/>
      <c r="C67" s="1" t="s">
        <v>150</v>
      </c>
      <c r="D67" s="1"/>
      <c r="E67" s="91">
        <f>E66+E49+E45+E42+E34+E28+E16+E10</f>
        <v>296.81</v>
      </c>
      <c r="F67" s="1"/>
      <c r="G67" s="1"/>
    </row>
    <row r="68" spans="1:7">
      <c r="B68" t="s">
        <v>1319</v>
      </c>
    </row>
    <row r="70" spans="1:7">
      <c r="F70" s="188"/>
    </row>
    <row r="73" spans="1:7">
      <c r="D73" s="6"/>
    </row>
    <row r="74" spans="1:7">
      <c r="D74" s="6"/>
    </row>
    <row r="75" spans="1:7">
      <c r="D75" s="6"/>
    </row>
    <row r="76" spans="1:7">
      <c r="D76" s="6"/>
    </row>
  </sheetData>
  <mergeCells count="24">
    <mergeCell ref="C46:C48"/>
    <mergeCell ref="C50:C54"/>
    <mergeCell ref="A43:A45"/>
    <mergeCell ref="B43:B45"/>
    <mergeCell ref="A46:A49"/>
    <mergeCell ref="B46:B49"/>
    <mergeCell ref="C43:C44"/>
    <mergeCell ref="A29:A34"/>
    <mergeCell ref="B29:B34"/>
    <mergeCell ref="A35:A42"/>
    <mergeCell ref="B35:B42"/>
    <mergeCell ref="C35:C41"/>
    <mergeCell ref="C29:C33"/>
    <mergeCell ref="A17:A28"/>
    <mergeCell ref="B17:B28"/>
    <mergeCell ref="C17:C27"/>
    <mergeCell ref="C11:C15"/>
    <mergeCell ref="A1:G1"/>
    <mergeCell ref="A2:G2"/>
    <mergeCell ref="A4:A10"/>
    <mergeCell ref="B4:B10"/>
    <mergeCell ref="A11:A16"/>
    <mergeCell ref="B11:B16"/>
    <mergeCell ref="C4:C9"/>
  </mergeCells>
  <pageMargins left="0.7" right="0.27" top="0.45" bottom="0.45" header="0.3" footer="0.3"/>
  <pageSetup paperSize="9"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164"/>
  <sheetViews>
    <sheetView topLeftCell="A156" workbookViewId="0">
      <selection activeCell="F167" sqref="F167"/>
    </sheetView>
  </sheetViews>
  <sheetFormatPr defaultRowHeight="15"/>
  <cols>
    <col min="1" max="1" width="6.28515625" customWidth="1"/>
    <col min="2" max="2" width="12.140625" customWidth="1"/>
    <col min="3" max="3" width="18.140625" customWidth="1"/>
    <col min="4" max="4" width="47.28515625" customWidth="1"/>
    <col min="5" max="5" width="10.28515625" customWidth="1"/>
    <col min="6" max="6" width="25.85546875" customWidth="1"/>
    <col min="7" max="7" width="22" customWidth="1"/>
    <col min="8" max="8" width="31.7109375" customWidth="1"/>
    <col min="9" max="9" width="27.5703125" customWidth="1"/>
    <col min="10" max="10" width="15.28515625" customWidth="1"/>
  </cols>
  <sheetData>
    <row r="1" spans="1:10" ht="21">
      <c r="A1" s="255" t="s">
        <v>55</v>
      </c>
      <c r="B1" s="256"/>
      <c r="C1" s="256"/>
      <c r="D1" s="256"/>
      <c r="E1" s="256"/>
      <c r="F1" s="256"/>
      <c r="G1" s="256"/>
    </row>
    <row r="2" spans="1:10" ht="15.75">
      <c r="A2" s="257" t="s">
        <v>279</v>
      </c>
      <c r="B2" s="257"/>
      <c r="C2" s="257"/>
      <c r="D2" s="257"/>
      <c r="E2" s="257"/>
      <c r="F2" s="257"/>
      <c r="G2" s="257"/>
    </row>
    <row r="3" spans="1:10" s="7" customFormat="1" ht="35.25" customHeight="1">
      <c r="A3" s="3" t="s">
        <v>0</v>
      </c>
      <c r="B3" s="3" t="s">
        <v>10</v>
      </c>
      <c r="C3" s="3" t="s">
        <v>11</v>
      </c>
      <c r="D3" s="3" t="s">
        <v>54</v>
      </c>
      <c r="E3" s="3" t="s">
        <v>59</v>
      </c>
      <c r="F3" s="3" t="s">
        <v>1473</v>
      </c>
      <c r="G3" s="3" t="s">
        <v>57</v>
      </c>
      <c r="H3" s="6"/>
      <c r="I3" s="6"/>
    </row>
    <row r="4" spans="1:10" ht="35.25" customHeight="1">
      <c r="A4" s="251" t="s">
        <v>1</v>
      </c>
      <c r="B4" s="247" t="s">
        <v>280</v>
      </c>
      <c r="C4" s="8" t="s">
        <v>280</v>
      </c>
      <c r="D4" s="8" t="s">
        <v>1523</v>
      </c>
      <c r="E4" s="5">
        <v>7.9</v>
      </c>
      <c r="F4" s="115" t="s">
        <v>1520</v>
      </c>
      <c r="G4" s="172" t="s">
        <v>1521</v>
      </c>
      <c r="H4" s="6">
        <v>7963125.8399999999</v>
      </c>
      <c r="I4" s="4"/>
    </row>
    <row r="5" spans="1:10" ht="80.25" customHeight="1">
      <c r="A5" s="251"/>
      <c r="B5" s="247"/>
      <c r="C5" s="271" t="s">
        <v>553</v>
      </c>
      <c r="D5" s="8" t="s">
        <v>582</v>
      </c>
      <c r="E5" s="5">
        <v>0.8</v>
      </c>
      <c r="F5" s="5" t="s">
        <v>1485</v>
      </c>
      <c r="G5" s="44" t="s">
        <v>958</v>
      </c>
      <c r="H5" s="4"/>
    </row>
    <row r="6" spans="1:10" ht="84" customHeight="1">
      <c r="A6" s="251"/>
      <c r="B6" s="247"/>
      <c r="C6" s="271"/>
      <c r="D6" s="59" t="s">
        <v>979</v>
      </c>
      <c r="E6" s="60">
        <v>2</v>
      </c>
      <c r="F6" s="5" t="s">
        <v>1485</v>
      </c>
      <c r="G6" s="5" t="s">
        <v>1498</v>
      </c>
      <c r="H6" s="4"/>
    </row>
    <row r="7" spans="1:10" ht="92.25" customHeight="1">
      <c r="A7" s="251"/>
      <c r="B7" s="247"/>
      <c r="C7" s="83" t="s">
        <v>536</v>
      </c>
      <c r="D7" s="59" t="s">
        <v>985</v>
      </c>
      <c r="E7" s="60">
        <v>5</v>
      </c>
      <c r="F7" s="5" t="s">
        <v>1485</v>
      </c>
      <c r="G7" s="5" t="s">
        <v>1498</v>
      </c>
      <c r="H7" s="4"/>
    </row>
    <row r="8" spans="1:10" ht="37.5" customHeight="1">
      <c r="A8" s="251"/>
      <c r="B8" s="247"/>
      <c r="C8" s="8" t="s">
        <v>577</v>
      </c>
      <c r="D8" s="72" t="s">
        <v>1240</v>
      </c>
      <c r="E8" s="9">
        <v>2</v>
      </c>
      <c r="F8" s="5" t="s">
        <v>1418</v>
      </c>
      <c r="G8" s="5" t="s">
        <v>92</v>
      </c>
      <c r="H8" s="4"/>
    </row>
    <row r="9" spans="1:10" ht="26.25" customHeight="1">
      <c r="A9" s="251"/>
      <c r="B9" s="247"/>
      <c r="C9" s="8" t="s">
        <v>555</v>
      </c>
      <c r="D9" s="72"/>
      <c r="E9" s="9"/>
      <c r="F9" s="5"/>
      <c r="G9" s="5"/>
      <c r="H9" s="4"/>
    </row>
    <row r="10" spans="1:10" ht="17.25" customHeight="1">
      <c r="A10" s="251"/>
      <c r="B10" s="247"/>
      <c r="C10" s="8" t="s">
        <v>12</v>
      </c>
      <c r="D10" s="8"/>
      <c r="E10" s="5">
        <f>SUM(E4:E9)</f>
        <v>17.700000000000003</v>
      </c>
      <c r="F10" s="5"/>
      <c r="G10" s="5"/>
      <c r="H10" s="4"/>
    </row>
    <row r="11" spans="1:10" ht="75">
      <c r="A11" s="251" t="s">
        <v>2</v>
      </c>
      <c r="B11" s="247" t="s">
        <v>281</v>
      </c>
      <c r="C11" s="271" t="s">
        <v>281</v>
      </c>
      <c r="D11" s="8" t="s">
        <v>651</v>
      </c>
      <c r="E11" s="5">
        <v>5</v>
      </c>
      <c r="F11" s="5" t="s">
        <v>1426</v>
      </c>
      <c r="G11" s="5" t="s">
        <v>650</v>
      </c>
      <c r="H11" s="5" t="s">
        <v>1426</v>
      </c>
      <c r="I11" s="115" t="s">
        <v>1398</v>
      </c>
    </row>
    <row r="12" spans="1:10" ht="75">
      <c r="A12" s="251"/>
      <c r="B12" s="247"/>
      <c r="C12" s="271"/>
      <c r="D12" s="8" t="s">
        <v>652</v>
      </c>
      <c r="E12" s="5">
        <v>2</v>
      </c>
      <c r="F12" s="5" t="s">
        <v>1426</v>
      </c>
      <c r="G12" s="5" t="s">
        <v>650</v>
      </c>
      <c r="H12" s="5" t="s">
        <v>1426</v>
      </c>
      <c r="I12" s="115" t="s">
        <v>1398</v>
      </c>
    </row>
    <row r="13" spans="1:10" ht="90">
      <c r="A13" s="251"/>
      <c r="B13" s="247"/>
      <c r="C13" s="271" t="s">
        <v>548</v>
      </c>
      <c r="D13" s="5" t="s">
        <v>570</v>
      </c>
      <c r="E13" s="9">
        <v>2</v>
      </c>
      <c r="F13" s="5" t="s">
        <v>1485</v>
      </c>
      <c r="G13" s="44" t="s">
        <v>958</v>
      </c>
      <c r="H13" s="4"/>
    </row>
    <row r="14" spans="1:10" ht="60">
      <c r="A14" s="251"/>
      <c r="B14" s="247"/>
      <c r="C14" s="271"/>
      <c r="D14" s="5" t="s">
        <v>750</v>
      </c>
      <c r="E14" s="29">
        <v>7</v>
      </c>
      <c r="F14" s="4" t="s">
        <v>1403</v>
      </c>
      <c r="G14" s="5" t="s">
        <v>787</v>
      </c>
      <c r="H14" s="4" t="s">
        <v>1403</v>
      </c>
      <c r="I14" s="7" t="s">
        <v>1398</v>
      </c>
    </row>
    <row r="15" spans="1:10" ht="31.5">
      <c r="A15" s="251"/>
      <c r="B15" s="247"/>
      <c r="C15" s="271"/>
      <c r="D15" s="73" t="s">
        <v>1253</v>
      </c>
      <c r="E15" s="9">
        <v>2</v>
      </c>
      <c r="F15" s="5" t="s">
        <v>1418</v>
      </c>
      <c r="G15" s="5" t="s">
        <v>92</v>
      </c>
      <c r="H15" s="4"/>
      <c r="I15" s="112"/>
      <c r="J15" s="109"/>
    </row>
    <row r="16" spans="1:10" ht="67.5" customHeight="1">
      <c r="A16" s="251"/>
      <c r="B16" s="247"/>
      <c r="C16" s="271"/>
      <c r="D16" s="5" t="s">
        <v>751</v>
      </c>
      <c r="E16" s="29">
        <v>20</v>
      </c>
      <c r="F16" s="4" t="s">
        <v>1403</v>
      </c>
      <c r="G16" s="5" t="s">
        <v>787</v>
      </c>
      <c r="H16" s="4" t="s">
        <v>1403</v>
      </c>
      <c r="I16" s="7" t="s">
        <v>1398</v>
      </c>
    </row>
    <row r="17" spans="1:9" ht="81.75" customHeight="1">
      <c r="A17" s="251"/>
      <c r="B17" s="247"/>
      <c r="C17" s="271"/>
      <c r="D17" s="68" t="s">
        <v>1197</v>
      </c>
      <c r="E17" s="69">
        <v>2</v>
      </c>
      <c r="F17" s="5" t="s">
        <v>1485</v>
      </c>
      <c r="G17" s="44" t="s">
        <v>958</v>
      </c>
      <c r="H17" s="4"/>
      <c r="I17" s="7"/>
    </row>
    <row r="18" spans="1:9" ht="75">
      <c r="A18" s="251"/>
      <c r="B18" s="247"/>
      <c r="C18" s="271"/>
      <c r="D18" s="5" t="s">
        <v>874</v>
      </c>
      <c r="E18" s="29">
        <v>5</v>
      </c>
      <c r="F18" s="6" t="s">
        <v>1397</v>
      </c>
      <c r="G18" s="5" t="s">
        <v>783</v>
      </c>
      <c r="H18" s="6" t="s">
        <v>1397</v>
      </c>
      <c r="I18" s="6" t="s">
        <v>1398</v>
      </c>
    </row>
    <row r="19" spans="1:9" ht="54.75" customHeight="1">
      <c r="A19" s="251"/>
      <c r="B19" s="247"/>
      <c r="C19" s="234" t="s">
        <v>557</v>
      </c>
      <c r="D19" s="72" t="s">
        <v>1242</v>
      </c>
      <c r="E19" s="9">
        <v>2</v>
      </c>
      <c r="F19" s="5" t="s">
        <v>1418</v>
      </c>
      <c r="G19" s="5" t="s">
        <v>92</v>
      </c>
      <c r="H19" s="4"/>
    </row>
    <row r="20" spans="1:9" ht="87" customHeight="1">
      <c r="A20" s="251"/>
      <c r="B20" s="247"/>
      <c r="C20" s="236"/>
      <c r="D20" s="68" t="s">
        <v>1471</v>
      </c>
      <c r="E20" s="69">
        <v>2</v>
      </c>
      <c r="F20" s="5" t="s">
        <v>1485</v>
      </c>
      <c r="G20" s="44" t="s">
        <v>958</v>
      </c>
      <c r="H20" s="4"/>
    </row>
    <row r="21" spans="1:9" ht="15.75">
      <c r="A21" s="251"/>
      <c r="B21" s="247"/>
      <c r="C21" s="5" t="s">
        <v>558</v>
      </c>
      <c r="D21" s="20"/>
      <c r="E21" s="5"/>
      <c r="F21" s="5"/>
      <c r="G21" s="12"/>
      <c r="H21" s="4"/>
    </row>
    <row r="22" spans="1:9" ht="15.75">
      <c r="A22" s="251"/>
      <c r="B22" s="247"/>
      <c r="C22" s="8"/>
      <c r="D22" s="20"/>
      <c r="E22" s="5"/>
      <c r="F22" s="5"/>
      <c r="G22" s="12"/>
      <c r="H22" s="4"/>
    </row>
    <row r="23" spans="1:9">
      <c r="A23" s="251"/>
      <c r="B23" s="247"/>
      <c r="C23" s="8" t="s">
        <v>12</v>
      </c>
      <c r="D23" s="8"/>
      <c r="E23" s="5">
        <f>SUM(E11:E22)</f>
        <v>49</v>
      </c>
      <c r="F23" s="5"/>
      <c r="G23" s="5"/>
      <c r="H23" s="4"/>
    </row>
    <row r="24" spans="1:9" ht="90">
      <c r="A24" s="251" t="s">
        <v>3</v>
      </c>
      <c r="B24" s="247" t="s">
        <v>535</v>
      </c>
      <c r="C24" s="234" t="s">
        <v>535</v>
      </c>
      <c r="D24" s="34" t="s">
        <v>1100</v>
      </c>
      <c r="E24" s="62">
        <v>1</v>
      </c>
      <c r="F24" s="5" t="s">
        <v>1485</v>
      </c>
      <c r="G24" s="5" t="s">
        <v>1078</v>
      </c>
      <c r="H24" s="4"/>
    </row>
    <row r="25" spans="1:9" ht="90">
      <c r="A25" s="251"/>
      <c r="B25" s="247"/>
      <c r="C25" s="236"/>
      <c r="D25" s="68" t="s">
        <v>1193</v>
      </c>
      <c r="E25" s="69">
        <v>3</v>
      </c>
      <c r="F25" s="5" t="s">
        <v>1485</v>
      </c>
      <c r="G25" s="44" t="s">
        <v>958</v>
      </c>
      <c r="H25" s="4"/>
    </row>
    <row r="26" spans="1:9">
      <c r="A26" s="251"/>
      <c r="B26" s="247"/>
      <c r="C26" s="27" t="s">
        <v>549</v>
      </c>
      <c r="D26" s="8"/>
      <c r="E26" s="8"/>
      <c r="F26" s="8"/>
      <c r="G26" s="8"/>
      <c r="H26" s="4"/>
    </row>
    <row r="27" spans="1:9" ht="90">
      <c r="A27" s="251"/>
      <c r="B27" s="247"/>
      <c r="C27" s="271" t="s">
        <v>540</v>
      </c>
      <c r="D27" s="59" t="s">
        <v>980</v>
      </c>
      <c r="E27" s="60">
        <v>2</v>
      </c>
      <c r="F27" s="5" t="s">
        <v>1485</v>
      </c>
      <c r="G27" s="5" t="s">
        <v>1498</v>
      </c>
      <c r="H27" s="4"/>
    </row>
    <row r="28" spans="1:9" ht="31.5">
      <c r="A28" s="251"/>
      <c r="B28" s="247"/>
      <c r="C28" s="271"/>
      <c r="D28" s="72" t="s">
        <v>1245</v>
      </c>
      <c r="E28" s="9">
        <v>2</v>
      </c>
      <c r="F28" s="5" t="s">
        <v>1418</v>
      </c>
      <c r="G28" s="5" t="s">
        <v>92</v>
      </c>
      <c r="H28" s="4"/>
    </row>
    <row r="29" spans="1:9" ht="30">
      <c r="A29" s="251"/>
      <c r="B29" s="247"/>
      <c r="C29" s="271"/>
      <c r="D29" s="37" t="s">
        <v>1153</v>
      </c>
      <c r="E29" s="60">
        <v>0.4</v>
      </c>
      <c r="F29" s="5" t="s">
        <v>1116</v>
      </c>
      <c r="G29" s="61" t="s">
        <v>1503</v>
      </c>
      <c r="H29" s="4"/>
    </row>
    <row r="30" spans="1:9" ht="90">
      <c r="A30" s="251"/>
      <c r="B30" s="247"/>
      <c r="C30" s="271"/>
      <c r="D30" s="68" t="s">
        <v>1198</v>
      </c>
      <c r="E30" s="69">
        <v>2.5</v>
      </c>
      <c r="F30" s="5" t="s">
        <v>1485</v>
      </c>
      <c r="G30" s="44" t="s">
        <v>958</v>
      </c>
      <c r="H30" s="4"/>
    </row>
    <row r="31" spans="1:9">
      <c r="A31" s="251"/>
      <c r="B31" s="247"/>
      <c r="C31" s="80" t="s">
        <v>12</v>
      </c>
      <c r="D31" s="11"/>
      <c r="E31" s="88">
        <f>SUM(E24:E30)</f>
        <v>10.9</v>
      </c>
      <c r="F31" s="13"/>
      <c r="G31" s="13"/>
      <c r="H31" s="4"/>
    </row>
    <row r="32" spans="1:9" ht="31.5">
      <c r="A32" s="251" t="s">
        <v>4</v>
      </c>
      <c r="B32" s="247" t="s">
        <v>282</v>
      </c>
      <c r="C32" s="5" t="s">
        <v>282</v>
      </c>
      <c r="D32" s="72" t="s">
        <v>1255</v>
      </c>
      <c r="E32" s="9">
        <v>2</v>
      </c>
      <c r="F32" s="5" t="s">
        <v>1418</v>
      </c>
      <c r="G32" s="5" t="s">
        <v>92</v>
      </c>
      <c r="H32" s="4"/>
    </row>
    <row r="33" spans="1:9" ht="90">
      <c r="A33" s="251"/>
      <c r="B33" s="247"/>
      <c r="C33" s="234" t="s">
        <v>563</v>
      </c>
      <c r="D33" s="59" t="s">
        <v>982</v>
      </c>
      <c r="E33" s="60">
        <v>1</v>
      </c>
      <c r="F33" s="5" t="s">
        <v>1485</v>
      </c>
      <c r="G33" s="5" t="s">
        <v>1498</v>
      </c>
      <c r="H33" s="4"/>
    </row>
    <row r="34" spans="1:9" ht="60">
      <c r="A34" s="251"/>
      <c r="B34" s="247"/>
      <c r="C34" s="236"/>
      <c r="D34" s="5" t="s">
        <v>968</v>
      </c>
      <c r="E34" s="9">
        <v>15</v>
      </c>
      <c r="F34" s="4" t="s">
        <v>1403</v>
      </c>
      <c r="G34" s="5" t="s">
        <v>787</v>
      </c>
      <c r="H34" s="4" t="s">
        <v>1403</v>
      </c>
      <c r="I34" s="7" t="s">
        <v>1398</v>
      </c>
    </row>
    <row r="35" spans="1:9" ht="36" customHeight="1">
      <c r="A35" s="251"/>
      <c r="B35" s="247"/>
      <c r="C35" s="5" t="s">
        <v>539</v>
      </c>
      <c r="D35" s="72" t="s">
        <v>1248</v>
      </c>
      <c r="E35" s="160">
        <v>2</v>
      </c>
      <c r="F35" s="5" t="s">
        <v>1418</v>
      </c>
      <c r="G35" s="5" t="s">
        <v>92</v>
      </c>
      <c r="H35" s="4"/>
    </row>
    <row r="36" spans="1:9">
      <c r="A36" s="251"/>
      <c r="B36" s="247"/>
      <c r="C36" s="8" t="s">
        <v>12</v>
      </c>
      <c r="D36" s="8"/>
      <c r="E36" s="87">
        <f>SUM(E32:E35)</f>
        <v>20</v>
      </c>
      <c r="F36" s="5"/>
      <c r="G36" s="5"/>
      <c r="H36" s="4"/>
    </row>
    <row r="37" spans="1:9" ht="81" customHeight="1">
      <c r="A37" s="251" t="s">
        <v>5</v>
      </c>
      <c r="B37" s="247" t="s">
        <v>283</v>
      </c>
      <c r="C37" s="234" t="s">
        <v>283</v>
      </c>
      <c r="D37" s="16" t="s">
        <v>565</v>
      </c>
      <c r="E37" s="15">
        <v>19</v>
      </c>
      <c r="F37" s="5" t="s">
        <v>1485</v>
      </c>
      <c r="G37" s="44" t="s">
        <v>958</v>
      </c>
      <c r="H37" s="4"/>
    </row>
    <row r="38" spans="1:9" ht="75" customHeight="1">
      <c r="A38" s="251"/>
      <c r="B38" s="247"/>
      <c r="C38" s="235"/>
      <c r="D38" s="16" t="s">
        <v>594</v>
      </c>
      <c r="E38" s="15">
        <v>2</v>
      </c>
      <c r="F38" s="5" t="s">
        <v>1426</v>
      </c>
      <c r="G38" s="15" t="s">
        <v>626</v>
      </c>
      <c r="H38" s="5" t="s">
        <v>1426</v>
      </c>
      <c r="I38" s="115" t="s">
        <v>1398</v>
      </c>
    </row>
    <row r="39" spans="1:9" ht="75" customHeight="1">
      <c r="A39" s="251"/>
      <c r="B39" s="247"/>
      <c r="C39" s="235"/>
      <c r="D39" s="16" t="s">
        <v>593</v>
      </c>
      <c r="E39" s="15">
        <v>3</v>
      </c>
      <c r="F39" s="5" t="s">
        <v>1426</v>
      </c>
      <c r="G39" s="15" t="s">
        <v>626</v>
      </c>
      <c r="H39" s="5" t="s">
        <v>1426</v>
      </c>
      <c r="I39" s="115" t="s">
        <v>1398</v>
      </c>
    </row>
    <row r="40" spans="1:9" ht="75" customHeight="1">
      <c r="A40" s="251"/>
      <c r="B40" s="247"/>
      <c r="C40" s="235"/>
      <c r="D40" s="16" t="s">
        <v>596</v>
      </c>
      <c r="E40" s="15">
        <v>20</v>
      </c>
      <c r="F40" s="5" t="s">
        <v>1426</v>
      </c>
      <c r="G40" s="15" t="s">
        <v>626</v>
      </c>
      <c r="H40" s="5" t="s">
        <v>1426</v>
      </c>
      <c r="I40" s="115" t="s">
        <v>1398</v>
      </c>
    </row>
    <row r="41" spans="1:9" ht="75" customHeight="1">
      <c r="A41" s="251"/>
      <c r="B41" s="247"/>
      <c r="C41" s="235"/>
      <c r="D41" s="16" t="s">
        <v>597</v>
      </c>
      <c r="E41" s="15">
        <v>15</v>
      </c>
      <c r="F41" s="5" t="s">
        <v>1426</v>
      </c>
      <c r="G41" s="15" t="s">
        <v>626</v>
      </c>
      <c r="H41" s="5" t="s">
        <v>1426</v>
      </c>
      <c r="I41" s="115" t="s">
        <v>1398</v>
      </c>
    </row>
    <row r="42" spans="1:9" ht="72.75" customHeight="1">
      <c r="A42" s="251"/>
      <c r="B42" s="247"/>
      <c r="C42" s="235"/>
      <c r="D42" s="9" t="s">
        <v>598</v>
      </c>
      <c r="E42" s="33">
        <v>35</v>
      </c>
      <c r="F42" s="5" t="s">
        <v>1426</v>
      </c>
      <c r="G42" s="15" t="s">
        <v>626</v>
      </c>
      <c r="H42" s="5" t="s">
        <v>1426</v>
      </c>
      <c r="I42" s="115" t="s">
        <v>1398</v>
      </c>
    </row>
    <row r="43" spans="1:9" ht="65.25" customHeight="1">
      <c r="A43" s="251"/>
      <c r="B43" s="247"/>
      <c r="C43" s="235"/>
      <c r="D43" s="9" t="s">
        <v>595</v>
      </c>
      <c r="E43" s="9">
        <v>7</v>
      </c>
      <c r="F43" s="5" t="s">
        <v>1426</v>
      </c>
      <c r="G43" s="15" t="s">
        <v>626</v>
      </c>
      <c r="H43" s="5" t="s">
        <v>1426</v>
      </c>
      <c r="I43" s="115" t="s">
        <v>1398</v>
      </c>
    </row>
    <row r="44" spans="1:9" ht="86.25" customHeight="1">
      <c r="A44" s="251"/>
      <c r="B44" s="247"/>
      <c r="C44" s="235"/>
      <c r="D44" s="65" t="s">
        <v>1098</v>
      </c>
      <c r="E44" s="62">
        <v>1</v>
      </c>
      <c r="F44" s="5" t="s">
        <v>1485</v>
      </c>
      <c r="G44" s="5" t="s">
        <v>1078</v>
      </c>
      <c r="H44" s="122"/>
      <c r="I44" s="114"/>
    </row>
    <row r="45" spans="1:9" ht="68.25" customHeight="1">
      <c r="A45" s="251"/>
      <c r="B45" s="247"/>
      <c r="C45" s="236"/>
      <c r="D45" s="102" t="s">
        <v>1350</v>
      </c>
      <c r="E45" s="9">
        <v>2.2000000000000002</v>
      </c>
      <c r="F45" s="5" t="s">
        <v>1344</v>
      </c>
      <c r="G45" s="5" t="s">
        <v>92</v>
      </c>
      <c r="H45" s="4"/>
    </row>
    <row r="46" spans="1:9">
      <c r="A46" s="251"/>
      <c r="B46" s="247"/>
      <c r="C46" s="27" t="s">
        <v>564</v>
      </c>
      <c r="D46" s="1"/>
      <c r="E46" s="1"/>
      <c r="F46" s="1"/>
      <c r="G46" s="5"/>
      <c r="H46" s="4"/>
    </row>
    <row r="47" spans="1:9">
      <c r="A47" s="251"/>
      <c r="B47" s="247"/>
      <c r="C47" s="27" t="s">
        <v>547</v>
      </c>
      <c r="D47" s="8"/>
      <c r="E47" s="5"/>
      <c r="F47" s="5"/>
      <c r="G47" s="5"/>
      <c r="H47" s="4"/>
    </row>
    <row r="48" spans="1:9" ht="47.25">
      <c r="A48" s="251"/>
      <c r="B48" s="247"/>
      <c r="C48" s="234" t="s">
        <v>545</v>
      </c>
      <c r="D48" s="72" t="s">
        <v>1243</v>
      </c>
      <c r="E48" s="9">
        <v>2</v>
      </c>
      <c r="F48" s="5" t="s">
        <v>1418</v>
      </c>
      <c r="G48" s="5" t="s">
        <v>92</v>
      </c>
      <c r="H48" s="4"/>
    </row>
    <row r="49" spans="1:10" ht="90">
      <c r="A49" s="251"/>
      <c r="B49" s="247"/>
      <c r="C49" s="236"/>
      <c r="D49" s="59" t="s">
        <v>977</v>
      </c>
      <c r="E49" s="60">
        <v>2</v>
      </c>
      <c r="F49" s="5" t="s">
        <v>1485</v>
      </c>
      <c r="G49" s="5" t="s">
        <v>1498</v>
      </c>
      <c r="H49" s="4"/>
    </row>
    <row r="50" spans="1:10">
      <c r="A50" s="251"/>
      <c r="B50" s="247"/>
      <c r="C50" s="80" t="s">
        <v>12</v>
      </c>
      <c r="D50" s="16"/>
      <c r="E50" s="13">
        <f>SUM(E37:E49)</f>
        <v>108.2</v>
      </c>
      <c r="F50" s="13"/>
      <c r="G50" s="12"/>
      <c r="H50" s="4"/>
      <c r="I50" s="4" t="s">
        <v>555</v>
      </c>
    </row>
    <row r="51" spans="1:10" ht="90">
      <c r="A51" s="251" t="s">
        <v>6</v>
      </c>
      <c r="B51" s="247" t="s">
        <v>284</v>
      </c>
      <c r="C51" s="5" t="s">
        <v>541</v>
      </c>
      <c r="D51" s="59" t="s">
        <v>981</v>
      </c>
      <c r="E51" s="60">
        <v>2</v>
      </c>
      <c r="F51" s="5" t="s">
        <v>1485</v>
      </c>
      <c r="G51" s="5" t="s">
        <v>1498</v>
      </c>
      <c r="H51" s="4"/>
    </row>
    <row r="52" spans="1:10" ht="45">
      <c r="A52" s="251"/>
      <c r="B52" s="247"/>
      <c r="C52" s="5" t="s">
        <v>542</v>
      </c>
      <c r="D52" s="102" t="s">
        <v>1351</v>
      </c>
      <c r="E52" s="9">
        <v>1.5</v>
      </c>
      <c r="F52" s="5" t="s">
        <v>1344</v>
      </c>
      <c r="G52" s="5" t="s">
        <v>92</v>
      </c>
      <c r="H52" s="4"/>
    </row>
    <row r="53" spans="1:10" ht="47.25">
      <c r="A53" s="251"/>
      <c r="B53" s="247"/>
      <c r="C53" s="5" t="s">
        <v>552</v>
      </c>
      <c r="D53" s="71" t="s">
        <v>1252</v>
      </c>
      <c r="E53" s="9">
        <v>2</v>
      </c>
      <c r="F53" s="5" t="s">
        <v>1418</v>
      </c>
      <c r="G53" s="5" t="s">
        <v>92</v>
      </c>
      <c r="H53" s="4"/>
    </row>
    <row r="54" spans="1:10" ht="90">
      <c r="A54" s="251"/>
      <c r="B54" s="247"/>
      <c r="C54" s="5" t="s">
        <v>537</v>
      </c>
      <c r="D54" s="68" t="s">
        <v>1199</v>
      </c>
      <c r="E54" s="69">
        <v>4</v>
      </c>
      <c r="F54" s="5" t="s">
        <v>1485</v>
      </c>
      <c r="G54" s="44" t="s">
        <v>958</v>
      </c>
      <c r="H54" s="4"/>
    </row>
    <row r="55" spans="1:10" ht="31.5">
      <c r="A55" s="251"/>
      <c r="B55" s="247"/>
      <c r="C55" s="234" t="s">
        <v>538</v>
      </c>
      <c r="D55" s="72" t="s">
        <v>1241</v>
      </c>
      <c r="E55" s="9">
        <v>2</v>
      </c>
      <c r="F55" s="5" t="s">
        <v>1418</v>
      </c>
      <c r="G55" s="5" t="s">
        <v>92</v>
      </c>
      <c r="H55" s="4"/>
    </row>
    <row r="56" spans="1:10" ht="90">
      <c r="A56" s="251"/>
      <c r="B56" s="247"/>
      <c r="C56" s="235"/>
      <c r="D56" s="59" t="s">
        <v>978</v>
      </c>
      <c r="E56" s="60">
        <v>2</v>
      </c>
      <c r="F56" s="5" t="s">
        <v>1485</v>
      </c>
      <c r="G56" s="5" t="s">
        <v>1498</v>
      </c>
      <c r="H56" s="4"/>
    </row>
    <row r="57" spans="1:10" ht="45">
      <c r="A57" s="251"/>
      <c r="B57" s="247"/>
      <c r="C57" s="236"/>
      <c r="D57" s="9" t="s">
        <v>1209</v>
      </c>
      <c r="E57" s="64">
        <v>2</v>
      </c>
      <c r="F57" s="5" t="s">
        <v>1205</v>
      </c>
      <c r="H57" s="4"/>
    </row>
    <row r="58" spans="1:10">
      <c r="A58" s="251"/>
      <c r="B58" s="247"/>
      <c r="C58" s="8" t="s">
        <v>12</v>
      </c>
      <c r="D58" s="8"/>
      <c r="E58" s="86">
        <f>SUM(E51:E57)</f>
        <v>15.5</v>
      </c>
      <c r="F58" s="5"/>
      <c r="G58" s="5"/>
      <c r="H58" s="4"/>
    </row>
    <row r="59" spans="1:10" ht="57" customHeight="1">
      <c r="A59" s="251" t="s">
        <v>7</v>
      </c>
      <c r="B59" s="247" t="s">
        <v>285</v>
      </c>
      <c r="C59" s="271" t="s">
        <v>285</v>
      </c>
      <c r="D59" s="5" t="s">
        <v>793</v>
      </c>
      <c r="E59" s="9">
        <v>3.5</v>
      </c>
      <c r="F59" s="6" t="s">
        <v>1403</v>
      </c>
      <c r="G59" s="5" t="s">
        <v>1479</v>
      </c>
      <c r="H59" s="6" t="s">
        <v>1403</v>
      </c>
      <c r="I59" s="7" t="s">
        <v>1398</v>
      </c>
    </row>
    <row r="60" spans="1:10" ht="61.5" customHeight="1">
      <c r="A60" s="251"/>
      <c r="B60" s="247"/>
      <c r="C60" s="271"/>
      <c r="D60" s="5" t="s">
        <v>794</v>
      </c>
      <c r="E60" s="9">
        <v>2.5</v>
      </c>
      <c r="F60" s="6" t="s">
        <v>1403</v>
      </c>
      <c r="G60" s="5" t="s">
        <v>1479</v>
      </c>
      <c r="H60" s="6" t="s">
        <v>1403</v>
      </c>
      <c r="I60" s="7" t="s">
        <v>1398</v>
      </c>
    </row>
    <row r="61" spans="1:10" ht="75.75" customHeight="1">
      <c r="A61" s="251"/>
      <c r="B61" s="247"/>
      <c r="C61" s="271"/>
      <c r="D61" s="8" t="s">
        <v>568</v>
      </c>
      <c r="E61" s="5">
        <v>2</v>
      </c>
      <c r="F61" s="5" t="s">
        <v>1485</v>
      </c>
      <c r="G61" s="44" t="s">
        <v>958</v>
      </c>
      <c r="H61" s="4"/>
      <c r="I61" s="4"/>
    </row>
    <row r="62" spans="1:10" ht="31.5" customHeight="1">
      <c r="A62" s="251"/>
      <c r="B62" s="247"/>
      <c r="C62" s="271"/>
      <c r="D62" s="72" t="s">
        <v>1246</v>
      </c>
      <c r="E62" s="9">
        <v>2</v>
      </c>
      <c r="F62" s="5" t="s">
        <v>1418</v>
      </c>
      <c r="G62" s="5" t="s">
        <v>92</v>
      </c>
      <c r="H62" s="4"/>
      <c r="I62" s="4"/>
    </row>
    <row r="63" spans="1:10" ht="90">
      <c r="A63" s="251"/>
      <c r="B63" s="247"/>
      <c r="C63" s="271"/>
      <c r="D63" s="8" t="s">
        <v>569</v>
      </c>
      <c r="E63" s="5">
        <v>3</v>
      </c>
      <c r="F63" s="5" t="s">
        <v>1485</v>
      </c>
      <c r="G63" s="44" t="s">
        <v>958</v>
      </c>
      <c r="H63" s="4"/>
    </row>
    <row r="64" spans="1:10" ht="90">
      <c r="A64" s="251"/>
      <c r="B64" s="247"/>
      <c r="C64" s="271" t="s">
        <v>544</v>
      </c>
      <c r="D64" s="16" t="s">
        <v>579</v>
      </c>
      <c r="E64" s="15">
        <v>3</v>
      </c>
      <c r="F64" s="5" t="s">
        <v>1485</v>
      </c>
      <c r="G64" s="44" t="s">
        <v>958</v>
      </c>
      <c r="H64" s="4"/>
      <c r="J64" t="s">
        <v>571</v>
      </c>
    </row>
    <row r="65" spans="1:10" ht="90">
      <c r="A65" s="251"/>
      <c r="B65" s="247"/>
      <c r="C65" s="271"/>
      <c r="D65" s="16" t="s">
        <v>580</v>
      </c>
      <c r="E65" s="15">
        <v>2</v>
      </c>
      <c r="F65" s="5" t="s">
        <v>1485</v>
      </c>
      <c r="G65" s="44" t="s">
        <v>958</v>
      </c>
      <c r="H65" s="4"/>
    </row>
    <row r="66" spans="1:10" ht="31.5">
      <c r="A66" s="251"/>
      <c r="B66" s="247"/>
      <c r="C66" s="271"/>
      <c r="D66" s="72" t="s">
        <v>1251</v>
      </c>
      <c r="E66" s="9">
        <v>2</v>
      </c>
      <c r="F66" s="5" t="s">
        <v>1418</v>
      </c>
      <c r="G66" s="5" t="s">
        <v>92</v>
      </c>
      <c r="H66" s="4"/>
    </row>
    <row r="67" spans="1:10" ht="90">
      <c r="A67" s="251"/>
      <c r="B67" s="247"/>
      <c r="C67" s="271"/>
      <c r="D67" s="16" t="s">
        <v>1185</v>
      </c>
      <c r="E67" s="15">
        <v>1</v>
      </c>
      <c r="F67" s="5" t="s">
        <v>1485</v>
      </c>
      <c r="G67" s="44" t="s">
        <v>1505</v>
      </c>
      <c r="H67" s="4"/>
    </row>
    <row r="68" spans="1:10" ht="34.5" customHeight="1">
      <c r="A68" s="251"/>
      <c r="B68" s="247"/>
      <c r="C68" s="5" t="s">
        <v>551</v>
      </c>
      <c r="D68" s="34"/>
      <c r="E68" s="45"/>
      <c r="F68" s="44"/>
      <c r="G68" s="5"/>
      <c r="H68" s="4"/>
      <c r="J68" t="s">
        <v>572</v>
      </c>
    </row>
    <row r="69" spans="1:10" ht="15.75" customHeight="1">
      <c r="A69" s="251"/>
      <c r="B69" s="247"/>
      <c r="C69" s="80" t="s">
        <v>12</v>
      </c>
      <c r="D69" s="16"/>
      <c r="E69" s="15">
        <f>SUM(E59:E68)</f>
        <v>21</v>
      </c>
      <c r="F69" s="15"/>
      <c r="G69" s="12"/>
      <c r="H69" s="4"/>
      <c r="J69" t="s">
        <v>573</v>
      </c>
    </row>
    <row r="70" spans="1:10" ht="55.5" customHeight="1">
      <c r="A70" s="251" t="s">
        <v>9</v>
      </c>
      <c r="B70" s="247" t="s">
        <v>286</v>
      </c>
      <c r="C70" s="234" t="s">
        <v>286</v>
      </c>
      <c r="D70" s="9" t="s">
        <v>1324</v>
      </c>
      <c r="E70" s="9">
        <v>5</v>
      </c>
      <c r="F70" s="5" t="s">
        <v>1205</v>
      </c>
      <c r="G70" s="5" t="s">
        <v>1507</v>
      </c>
      <c r="H70" s="4"/>
      <c r="J70" t="s">
        <v>574</v>
      </c>
    </row>
    <row r="71" spans="1:10" ht="55.5" customHeight="1">
      <c r="A71" s="251"/>
      <c r="B71" s="247"/>
      <c r="C71" s="236"/>
      <c r="D71" s="5" t="s">
        <v>1325</v>
      </c>
      <c r="E71" s="9">
        <v>5</v>
      </c>
      <c r="F71" s="5" t="s">
        <v>1205</v>
      </c>
      <c r="G71" s="5" t="s">
        <v>1507</v>
      </c>
      <c r="H71" s="4"/>
    </row>
    <row r="72" spans="1:10">
      <c r="A72" s="251"/>
      <c r="B72" s="247"/>
      <c r="C72" s="27" t="s">
        <v>554</v>
      </c>
      <c r="D72" s="8"/>
      <c r="E72" s="5"/>
      <c r="F72" s="5"/>
      <c r="G72" s="5"/>
      <c r="H72" s="4"/>
      <c r="J72" t="s">
        <v>575</v>
      </c>
    </row>
    <row r="73" spans="1:10" ht="83.25" customHeight="1">
      <c r="A73" s="251"/>
      <c r="B73" s="247"/>
      <c r="C73" s="234" t="s">
        <v>550</v>
      </c>
      <c r="D73" s="65" t="s">
        <v>1099</v>
      </c>
      <c r="E73" s="62">
        <v>0.5</v>
      </c>
      <c r="F73" s="5" t="s">
        <v>1485</v>
      </c>
      <c r="G73" s="5" t="s">
        <v>1078</v>
      </c>
      <c r="H73" s="4"/>
      <c r="J73" t="s">
        <v>576</v>
      </c>
    </row>
    <row r="74" spans="1:10" ht="40.5" customHeight="1">
      <c r="A74" s="251"/>
      <c r="B74" s="247"/>
      <c r="C74" s="235"/>
      <c r="D74" s="72" t="s">
        <v>1244</v>
      </c>
      <c r="E74" s="9">
        <v>2</v>
      </c>
      <c r="F74" s="5" t="s">
        <v>1418</v>
      </c>
      <c r="G74" s="5" t="s">
        <v>92</v>
      </c>
      <c r="H74" s="4"/>
    </row>
    <row r="75" spans="1:10" ht="40.5" customHeight="1">
      <c r="A75" s="251"/>
      <c r="B75" s="247"/>
      <c r="C75" s="236"/>
      <c r="D75" s="9" t="s">
        <v>1508</v>
      </c>
      <c r="E75" s="9">
        <v>5</v>
      </c>
      <c r="F75" s="5" t="s">
        <v>1205</v>
      </c>
      <c r="G75" s="5" t="s">
        <v>1507</v>
      </c>
      <c r="H75" s="4"/>
    </row>
    <row r="76" spans="1:10">
      <c r="A76" s="251"/>
      <c r="B76" s="247"/>
      <c r="C76" s="8" t="s">
        <v>12</v>
      </c>
      <c r="D76" s="8"/>
      <c r="E76" s="86">
        <f>SUM(E70:E75)</f>
        <v>17.5</v>
      </c>
      <c r="F76" s="5"/>
      <c r="G76" s="5"/>
      <c r="H76" s="4"/>
    </row>
    <row r="77" spans="1:10" ht="90">
      <c r="A77" s="251" t="s">
        <v>13</v>
      </c>
      <c r="B77" s="247" t="s">
        <v>287</v>
      </c>
      <c r="C77" s="271" t="s">
        <v>287</v>
      </c>
      <c r="D77" s="8" t="s">
        <v>566</v>
      </c>
      <c r="E77" s="5">
        <v>19</v>
      </c>
      <c r="F77" s="5" t="s">
        <v>1485</v>
      </c>
      <c r="G77" s="44" t="s">
        <v>958</v>
      </c>
      <c r="H77" s="4"/>
    </row>
    <row r="78" spans="1:10" ht="90">
      <c r="A78" s="251"/>
      <c r="B78" s="247"/>
      <c r="C78" s="271"/>
      <c r="D78" s="59" t="s">
        <v>976</v>
      </c>
      <c r="E78" s="60">
        <v>2</v>
      </c>
      <c r="F78" s="5" t="s">
        <v>1485</v>
      </c>
      <c r="G78" s="5" t="s">
        <v>1498</v>
      </c>
      <c r="H78" s="4"/>
    </row>
    <row r="79" spans="1:10" ht="90">
      <c r="A79" s="251"/>
      <c r="B79" s="247"/>
      <c r="C79" s="271"/>
      <c r="D79" s="8" t="s">
        <v>567</v>
      </c>
      <c r="E79" s="5">
        <v>6</v>
      </c>
      <c r="F79" s="5" t="s">
        <v>1485</v>
      </c>
      <c r="G79" s="44" t="s">
        <v>958</v>
      </c>
      <c r="H79" s="4"/>
    </row>
    <row r="80" spans="1:10" ht="30">
      <c r="A80" s="251"/>
      <c r="B80" s="247"/>
      <c r="C80" s="271"/>
      <c r="D80" s="37" t="s">
        <v>1157</v>
      </c>
      <c r="E80" s="29">
        <v>0.04</v>
      </c>
      <c r="F80" s="5" t="s">
        <v>1116</v>
      </c>
      <c r="G80" s="61" t="s">
        <v>1503</v>
      </c>
      <c r="H80" s="4"/>
    </row>
    <row r="81" spans="1:9" ht="45">
      <c r="A81" s="251"/>
      <c r="B81" s="247"/>
      <c r="C81" s="271"/>
      <c r="D81" s="5" t="s">
        <v>1411</v>
      </c>
      <c r="E81" s="9">
        <v>0.75</v>
      </c>
      <c r="F81" s="5" t="s">
        <v>1408</v>
      </c>
      <c r="G81" s="5" t="s">
        <v>1409</v>
      </c>
      <c r="H81" s="4"/>
    </row>
    <row r="82" spans="1:9" ht="30">
      <c r="A82" s="251"/>
      <c r="B82" s="247"/>
      <c r="C82" s="271"/>
      <c r="D82" t="s">
        <v>1524</v>
      </c>
      <c r="E82" s="115">
        <v>21</v>
      </c>
      <c r="F82" s="115" t="s">
        <v>1520</v>
      </c>
      <c r="G82" s="172" t="s">
        <v>1521</v>
      </c>
      <c r="H82" s="4">
        <v>20694227.329999998</v>
      </c>
    </row>
    <row r="83" spans="1:9" ht="31.5">
      <c r="A83" s="251"/>
      <c r="B83" s="247"/>
      <c r="C83" s="5" t="s">
        <v>546</v>
      </c>
      <c r="D83" s="72" t="s">
        <v>1254</v>
      </c>
      <c r="E83" s="9">
        <v>2</v>
      </c>
      <c r="F83" s="5" t="s">
        <v>1418</v>
      </c>
      <c r="G83" s="5" t="s">
        <v>92</v>
      </c>
      <c r="H83" s="4"/>
    </row>
    <row r="84" spans="1:9" ht="78.75">
      <c r="A84" s="251"/>
      <c r="B84" s="247"/>
      <c r="C84" s="234" t="s">
        <v>560</v>
      </c>
      <c r="D84" s="72" t="s">
        <v>1247</v>
      </c>
      <c r="E84" s="9">
        <v>2</v>
      </c>
      <c r="F84" s="5" t="s">
        <v>1418</v>
      </c>
      <c r="G84" s="5" t="s">
        <v>92</v>
      </c>
      <c r="H84" s="4"/>
    </row>
    <row r="85" spans="1:9" ht="90">
      <c r="A85" s="251"/>
      <c r="B85" s="247"/>
      <c r="C85" s="236"/>
      <c r="D85" s="34" t="s">
        <v>1109</v>
      </c>
      <c r="E85" s="62">
        <v>1.4</v>
      </c>
      <c r="F85" s="5" t="s">
        <v>1485</v>
      </c>
      <c r="G85" s="5" t="s">
        <v>1078</v>
      </c>
      <c r="H85" s="4"/>
      <c r="I85" s="4"/>
    </row>
    <row r="86" spans="1:9" ht="75">
      <c r="A86" s="251"/>
      <c r="B86" s="247"/>
      <c r="C86" s="234" t="s">
        <v>543</v>
      </c>
      <c r="D86" s="8" t="s">
        <v>870</v>
      </c>
      <c r="E86" s="9">
        <v>0.5</v>
      </c>
      <c r="F86" s="6" t="s">
        <v>1397</v>
      </c>
      <c r="G86" s="25" t="s">
        <v>862</v>
      </c>
      <c r="H86" s="6" t="s">
        <v>1397</v>
      </c>
      <c r="I86" s="6" t="s">
        <v>1398</v>
      </c>
    </row>
    <row r="87" spans="1:9" ht="31.5">
      <c r="A87" s="251"/>
      <c r="B87" s="247"/>
      <c r="C87" s="236"/>
      <c r="D87" s="72" t="s">
        <v>1250</v>
      </c>
      <c r="E87" s="9">
        <v>2</v>
      </c>
      <c r="F87" s="5" t="s">
        <v>1418</v>
      </c>
      <c r="G87" s="5" t="s">
        <v>92</v>
      </c>
      <c r="H87" s="4"/>
      <c r="I87" s="4"/>
    </row>
    <row r="88" spans="1:9">
      <c r="A88" s="251"/>
      <c r="B88" s="247"/>
      <c r="C88" s="27" t="s">
        <v>561</v>
      </c>
      <c r="D88" s="8"/>
      <c r="E88" s="5"/>
      <c r="F88" s="5"/>
      <c r="G88" s="5"/>
      <c r="H88" s="4"/>
      <c r="I88" s="4"/>
    </row>
    <row r="89" spans="1:9">
      <c r="A89" s="251"/>
      <c r="B89" s="247"/>
      <c r="C89" s="8" t="s">
        <v>12</v>
      </c>
      <c r="D89" s="8"/>
      <c r="E89" s="5">
        <f>SUM(E77:E88)</f>
        <v>56.69</v>
      </c>
      <c r="F89" s="5"/>
      <c r="G89" s="5"/>
      <c r="H89" s="4"/>
      <c r="I89" s="4"/>
    </row>
    <row r="90" spans="1:9" ht="78" customHeight="1">
      <c r="A90" s="248" t="s">
        <v>14</v>
      </c>
      <c r="B90" s="252" t="s">
        <v>288</v>
      </c>
      <c r="C90" s="234" t="s">
        <v>288</v>
      </c>
      <c r="D90" s="68" t="s">
        <v>1194</v>
      </c>
      <c r="E90" s="69">
        <v>2</v>
      </c>
      <c r="F90" s="5" t="s">
        <v>1485</v>
      </c>
      <c r="G90" s="44" t="s">
        <v>958</v>
      </c>
      <c r="H90" s="4"/>
      <c r="I90" s="4"/>
    </row>
    <row r="91" spans="1:9" ht="37.5" customHeight="1">
      <c r="A91" s="249"/>
      <c r="B91" s="253"/>
      <c r="C91" s="235"/>
      <c r="D91" s="72" t="s">
        <v>1249</v>
      </c>
      <c r="E91" s="9">
        <v>2</v>
      </c>
      <c r="F91" s="5" t="s">
        <v>1418</v>
      </c>
      <c r="G91" s="5" t="s">
        <v>92</v>
      </c>
      <c r="H91" s="4"/>
      <c r="I91" s="4"/>
    </row>
    <row r="92" spans="1:9" ht="30">
      <c r="A92" s="249"/>
      <c r="B92" s="253"/>
      <c r="C92" s="236"/>
      <c r="D92" s="5" t="s">
        <v>1536</v>
      </c>
      <c r="E92" s="9">
        <v>5</v>
      </c>
      <c r="F92" s="169" t="s">
        <v>1533</v>
      </c>
      <c r="G92" s="172" t="s">
        <v>1521</v>
      </c>
      <c r="H92" s="4"/>
      <c r="I92" s="4"/>
    </row>
    <row r="93" spans="1:9" ht="90">
      <c r="A93" s="249"/>
      <c r="B93" s="253"/>
      <c r="C93" s="234" t="s">
        <v>556</v>
      </c>
      <c r="D93" s="68" t="s">
        <v>1195</v>
      </c>
      <c r="E93" s="69">
        <v>4</v>
      </c>
      <c r="F93" s="5" t="s">
        <v>1485</v>
      </c>
      <c r="G93" s="44" t="s">
        <v>958</v>
      </c>
      <c r="H93" s="4"/>
      <c r="I93" s="4"/>
    </row>
    <row r="94" spans="1:9" ht="78" customHeight="1">
      <c r="A94" s="249"/>
      <c r="B94" s="253"/>
      <c r="C94" s="236"/>
      <c r="D94" s="8" t="s">
        <v>581</v>
      </c>
      <c r="E94" s="5">
        <v>0.2</v>
      </c>
      <c r="F94" s="5" t="s">
        <v>1485</v>
      </c>
      <c r="G94" s="44" t="s">
        <v>958</v>
      </c>
      <c r="H94" s="4"/>
      <c r="I94" s="4"/>
    </row>
    <row r="95" spans="1:9" ht="90">
      <c r="A95" s="249"/>
      <c r="B95" s="253"/>
      <c r="C95" s="5" t="s">
        <v>559</v>
      </c>
      <c r="D95" s="68" t="s">
        <v>1196</v>
      </c>
      <c r="E95" s="69">
        <v>3</v>
      </c>
      <c r="F95" s="5" t="s">
        <v>1485</v>
      </c>
      <c r="G95" s="44" t="s">
        <v>958</v>
      </c>
      <c r="H95" s="4"/>
      <c r="I95" s="4"/>
    </row>
    <row r="96" spans="1:9" ht="78.75" customHeight="1">
      <c r="A96" s="249"/>
      <c r="B96" s="253"/>
      <c r="C96" s="271" t="s">
        <v>562</v>
      </c>
      <c r="D96" s="5" t="s">
        <v>1494</v>
      </c>
      <c r="E96" s="9">
        <v>6</v>
      </c>
      <c r="F96" s="5" t="s">
        <v>1485</v>
      </c>
      <c r="G96" s="44" t="s">
        <v>958</v>
      </c>
      <c r="H96" s="4"/>
      <c r="I96" s="4"/>
    </row>
    <row r="97" spans="1:9" ht="46.5" customHeight="1">
      <c r="A97" s="249"/>
      <c r="B97" s="253"/>
      <c r="C97" s="271"/>
      <c r="D97" s="9" t="s">
        <v>1128</v>
      </c>
      <c r="E97" s="9">
        <v>0.8</v>
      </c>
      <c r="F97" s="5" t="s">
        <v>1116</v>
      </c>
      <c r="G97" s="15" t="s">
        <v>783</v>
      </c>
      <c r="H97" s="4"/>
      <c r="I97" s="4"/>
    </row>
    <row r="98" spans="1:9" ht="79.5" customHeight="1">
      <c r="A98" s="249"/>
      <c r="B98" s="253"/>
      <c r="C98" s="271"/>
      <c r="D98" s="59" t="s">
        <v>975</v>
      </c>
      <c r="E98" s="60">
        <v>2</v>
      </c>
      <c r="F98" s="5" t="s">
        <v>1485</v>
      </c>
      <c r="G98" s="5" t="s">
        <v>1498</v>
      </c>
      <c r="H98" s="4"/>
      <c r="I98" s="4"/>
    </row>
    <row r="99" spans="1:9" ht="75">
      <c r="A99" s="249"/>
      <c r="B99" s="253"/>
      <c r="C99" s="271"/>
      <c r="D99" s="5" t="s">
        <v>869</v>
      </c>
      <c r="E99" s="9">
        <v>0.5</v>
      </c>
      <c r="F99" s="6" t="s">
        <v>1397</v>
      </c>
      <c r="G99" s="25" t="s">
        <v>862</v>
      </c>
      <c r="H99" s="6" t="s">
        <v>1397</v>
      </c>
      <c r="I99" s="6" t="s">
        <v>1398</v>
      </c>
    </row>
    <row r="100" spans="1:9">
      <c r="A100" s="249"/>
      <c r="B100" s="253"/>
      <c r="C100" s="27" t="s">
        <v>578</v>
      </c>
      <c r="D100" s="8"/>
      <c r="E100" s="5"/>
      <c r="F100" s="5"/>
      <c r="G100" s="5"/>
      <c r="H100" s="4"/>
      <c r="I100" s="4"/>
    </row>
    <row r="101" spans="1:9">
      <c r="A101" s="250"/>
      <c r="B101" s="254"/>
      <c r="C101" s="80" t="s">
        <v>12</v>
      </c>
      <c r="D101" s="11"/>
      <c r="E101" s="104">
        <f>SUM(E90:E100)</f>
        <v>25.5</v>
      </c>
      <c r="F101" s="13"/>
      <c r="G101" s="13"/>
      <c r="H101" s="4"/>
      <c r="I101" s="4"/>
    </row>
    <row r="102" spans="1:9" ht="75">
      <c r="A102" s="1"/>
      <c r="B102" s="1"/>
      <c r="C102" s="266" t="s">
        <v>660</v>
      </c>
      <c r="D102" s="5" t="s">
        <v>656</v>
      </c>
      <c r="E102" s="9">
        <v>0.8</v>
      </c>
      <c r="F102" s="5" t="s">
        <v>1426</v>
      </c>
      <c r="G102" s="5" t="s">
        <v>657</v>
      </c>
      <c r="H102" s="5" t="s">
        <v>1426</v>
      </c>
      <c r="I102" s="115" t="s">
        <v>1398</v>
      </c>
    </row>
    <row r="103" spans="1:9" ht="75">
      <c r="A103" s="1"/>
      <c r="B103" s="1"/>
      <c r="C103" s="266"/>
      <c r="D103" s="5" t="s">
        <v>661</v>
      </c>
      <c r="E103" s="9">
        <v>0.5</v>
      </c>
      <c r="F103" s="5" t="s">
        <v>1426</v>
      </c>
      <c r="G103" s="5" t="s">
        <v>657</v>
      </c>
      <c r="H103" s="5" t="s">
        <v>1426</v>
      </c>
      <c r="I103" s="115" t="s">
        <v>1398</v>
      </c>
    </row>
    <row r="104" spans="1:9" ht="75">
      <c r="A104" s="1"/>
      <c r="B104" s="1"/>
      <c r="C104" s="266"/>
      <c r="D104" s="5" t="s">
        <v>658</v>
      </c>
      <c r="E104" s="9">
        <v>0.5</v>
      </c>
      <c r="F104" s="5" t="s">
        <v>1426</v>
      </c>
      <c r="G104" s="5" t="s">
        <v>657</v>
      </c>
      <c r="H104" s="5" t="s">
        <v>1426</v>
      </c>
      <c r="I104" s="115" t="s">
        <v>1398</v>
      </c>
    </row>
    <row r="105" spans="1:9" ht="76.5" customHeight="1">
      <c r="A105" s="1"/>
      <c r="B105" s="1"/>
      <c r="C105" s="266"/>
      <c r="D105" s="5" t="s">
        <v>659</v>
      </c>
      <c r="E105" s="9">
        <v>0.1</v>
      </c>
      <c r="F105" s="5" t="s">
        <v>1426</v>
      </c>
      <c r="G105" s="5" t="s">
        <v>657</v>
      </c>
      <c r="H105" s="5" t="s">
        <v>1426</v>
      </c>
      <c r="I105" s="115" t="s">
        <v>1398</v>
      </c>
    </row>
    <row r="106" spans="1:9" ht="90">
      <c r="A106" s="1"/>
      <c r="B106" s="1"/>
      <c r="C106" s="57" t="s">
        <v>973</v>
      </c>
      <c r="D106" s="59" t="s">
        <v>983</v>
      </c>
      <c r="E106" s="60">
        <v>1.5</v>
      </c>
      <c r="F106" s="5" t="s">
        <v>1485</v>
      </c>
      <c r="G106" s="5" t="s">
        <v>1498</v>
      </c>
    </row>
    <row r="107" spans="1:9" ht="90">
      <c r="A107" s="1"/>
      <c r="B107" s="1"/>
      <c r="C107" s="58" t="s">
        <v>974</v>
      </c>
      <c r="D107" s="59" t="s">
        <v>984</v>
      </c>
      <c r="E107" s="60">
        <v>2</v>
      </c>
      <c r="F107" s="5" t="s">
        <v>1485</v>
      </c>
      <c r="G107" s="5" t="s">
        <v>1498</v>
      </c>
    </row>
    <row r="108" spans="1:9" ht="45">
      <c r="A108" s="1"/>
      <c r="B108" s="1"/>
      <c r="C108" s="1"/>
      <c r="D108" s="9" t="s">
        <v>1330</v>
      </c>
      <c r="E108" s="9">
        <v>5</v>
      </c>
      <c r="F108" s="5" t="s">
        <v>1205</v>
      </c>
      <c r="G108" s="5" t="s">
        <v>1507</v>
      </c>
    </row>
    <row r="109" spans="1:9" ht="45">
      <c r="A109" s="1"/>
      <c r="B109" s="1"/>
      <c r="C109" s="1"/>
      <c r="D109" s="5" t="s">
        <v>1525</v>
      </c>
      <c r="E109" s="9">
        <v>30</v>
      </c>
      <c r="F109" s="115" t="s">
        <v>1520</v>
      </c>
      <c r="G109" s="172" t="s">
        <v>1521</v>
      </c>
      <c r="H109" s="7">
        <v>30084002.030000001</v>
      </c>
      <c r="I109">
        <f>H109/1000000</f>
        <v>30.084002030000001</v>
      </c>
    </row>
    <row r="110" spans="1:9" ht="31.5">
      <c r="A110" s="1"/>
      <c r="B110" s="1"/>
      <c r="C110" s="1"/>
      <c r="D110" s="78" t="s">
        <v>1554</v>
      </c>
      <c r="E110" s="78">
        <v>5</v>
      </c>
      <c r="F110" s="78" t="s">
        <v>1553</v>
      </c>
      <c r="G110" s="78" t="s">
        <v>1549</v>
      </c>
      <c r="H110" s="7"/>
    </row>
    <row r="111" spans="1:9" ht="47.25">
      <c r="A111" s="1"/>
      <c r="B111" s="1"/>
      <c r="C111" s="1"/>
      <c r="D111" s="78" t="s">
        <v>1569</v>
      </c>
      <c r="E111" s="78">
        <v>1</v>
      </c>
      <c r="F111" s="174" t="s">
        <v>1565</v>
      </c>
      <c r="G111" s="78" t="s">
        <v>1556</v>
      </c>
      <c r="H111" s="7"/>
    </row>
    <row r="112" spans="1:9" ht="47.25">
      <c r="A112" s="1"/>
      <c r="B112" s="1"/>
      <c r="C112" s="1"/>
      <c r="D112" s="78" t="s">
        <v>1573</v>
      </c>
      <c r="E112" s="78">
        <v>1.9</v>
      </c>
      <c r="F112" s="78" t="s">
        <v>1571</v>
      </c>
      <c r="G112" s="78" t="s">
        <v>1556</v>
      </c>
      <c r="H112" s="7"/>
    </row>
    <row r="113" spans="1:8" ht="47.25">
      <c r="A113" s="1"/>
      <c r="B113" s="1"/>
      <c r="C113" s="1"/>
      <c r="D113" s="78" t="s">
        <v>1577</v>
      </c>
      <c r="E113" s="78">
        <v>2.9</v>
      </c>
      <c r="F113" s="78" t="s">
        <v>1571</v>
      </c>
      <c r="G113" s="78" t="s">
        <v>1556</v>
      </c>
      <c r="H113" s="7"/>
    </row>
    <row r="114" spans="1:8" ht="47.25">
      <c r="A114" s="1"/>
      <c r="B114" s="1"/>
      <c r="C114" s="1"/>
      <c r="D114" s="78" t="s">
        <v>1579</v>
      </c>
      <c r="E114" s="78">
        <v>2.5</v>
      </c>
      <c r="F114" s="78" t="s">
        <v>1571</v>
      </c>
      <c r="G114" s="78" t="s">
        <v>1556</v>
      </c>
      <c r="H114" s="7"/>
    </row>
    <row r="115" spans="1:8" ht="47.25">
      <c r="A115" s="1"/>
      <c r="B115" s="1"/>
      <c r="C115" s="1"/>
      <c r="D115" s="189" t="s">
        <v>1589</v>
      </c>
      <c r="E115" s="189">
        <v>0.5</v>
      </c>
      <c r="F115" s="158" t="s">
        <v>1581</v>
      </c>
      <c r="G115" s="78" t="s">
        <v>1556</v>
      </c>
      <c r="H115" s="7"/>
    </row>
    <row r="116" spans="1:8" ht="47.25">
      <c r="A116" s="1"/>
      <c r="B116" s="1"/>
      <c r="C116" s="1"/>
      <c r="D116" s="188" t="s">
        <v>1590</v>
      </c>
      <c r="E116" s="190">
        <v>0.5</v>
      </c>
      <c r="F116" s="158" t="s">
        <v>1581</v>
      </c>
      <c r="G116" s="78" t="s">
        <v>1556</v>
      </c>
      <c r="H116" s="7"/>
    </row>
    <row r="117" spans="1:8" ht="47.25">
      <c r="A117" s="1"/>
      <c r="B117" s="1"/>
      <c r="C117" s="1"/>
      <c r="D117" s="188" t="s">
        <v>1596</v>
      </c>
      <c r="E117" s="191">
        <v>2.9</v>
      </c>
      <c r="F117" s="193" t="s">
        <v>1594</v>
      </c>
      <c r="G117" s="78" t="s">
        <v>1556</v>
      </c>
      <c r="H117" s="7"/>
    </row>
    <row r="118" spans="1:8" ht="47.25">
      <c r="A118" s="1"/>
      <c r="B118" s="1"/>
      <c r="C118" s="1"/>
      <c r="D118" s="188" t="s">
        <v>1599</v>
      </c>
      <c r="E118" s="191">
        <v>2</v>
      </c>
      <c r="F118" s="193" t="s">
        <v>1594</v>
      </c>
      <c r="G118" s="192" t="s">
        <v>1556</v>
      </c>
      <c r="H118" s="7"/>
    </row>
    <row r="119" spans="1:8" ht="63">
      <c r="A119" s="1"/>
      <c r="B119" s="1"/>
      <c r="C119" s="1"/>
      <c r="D119" s="196" t="s">
        <v>1604</v>
      </c>
      <c r="E119" s="9">
        <v>0.25</v>
      </c>
      <c r="F119" s="195" t="s">
        <v>1605</v>
      </c>
      <c r="G119" s="78" t="s">
        <v>1556</v>
      </c>
      <c r="H119" s="7"/>
    </row>
    <row r="120" spans="1:8" ht="63">
      <c r="A120" s="1"/>
      <c r="B120" s="1"/>
      <c r="C120" s="1"/>
      <c r="D120" s="196" t="s">
        <v>1606</v>
      </c>
      <c r="E120" s="9">
        <v>0.05</v>
      </c>
      <c r="F120" s="196" t="s">
        <v>1605</v>
      </c>
      <c r="G120" s="78" t="s">
        <v>1556</v>
      </c>
      <c r="H120" s="7"/>
    </row>
    <row r="121" spans="1:8" ht="47.25">
      <c r="A121" s="1"/>
      <c r="B121" s="1"/>
      <c r="C121" s="1"/>
      <c r="D121" s="196" t="s">
        <v>1611</v>
      </c>
      <c r="E121" s="9">
        <v>2</v>
      </c>
      <c r="F121" s="196" t="s">
        <v>1607</v>
      </c>
      <c r="G121" s="78" t="s">
        <v>1556</v>
      </c>
      <c r="H121" s="7"/>
    </row>
    <row r="122" spans="1:8" ht="47.25">
      <c r="A122" s="1"/>
      <c r="B122" s="1"/>
      <c r="C122" s="1"/>
      <c r="D122" s="189" t="s">
        <v>1614</v>
      </c>
      <c r="E122" s="9">
        <v>3</v>
      </c>
      <c r="F122" s="188" t="s">
        <v>1613</v>
      </c>
      <c r="G122" s="78" t="s">
        <v>1556</v>
      </c>
      <c r="H122" s="7"/>
    </row>
    <row r="123" spans="1:8" ht="47.25">
      <c r="A123" s="1"/>
      <c r="B123" s="1"/>
      <c r="C123" s="1"/>
      <c r="D123" s="20" t="s">
        <v>1621</v>
      </c>
      <c r="E123" s="9">
        <v>2.9</v>
      </c>
      <c r="F123" s="188" t="s">
        <v>1616</v>
      </c>
      <c r="G123" s="172" t="s">
        <v>1556</v>
      </c>
      <c r="H123" s="7"/>
    </row>
    <row r="124" spans="1:8" ht="45">
      <c r="A124" s="1"/>
      <c r="B124" s="1"/>
      <c r="C124" s="1"/>
      <c r="D124" s="20" t="s">
        <v>1622</v>
      </c>
      <c r="E124" s="9">
        <v>2.9</v>
      </c>
      <c r="F124" s="188" t="s">
        <v>1616</v>
      </c>
      <c r="G124" s="172" t="s">
        <v>1556</v>
      </c>
      <c r="H124" s="7"/>
    </row>
    <row r="125" spans="1:8" ht="47.25">
      <c r="A125" s="1"/>
      <c r="B125" s="1"/>
      <c r="C125" s="1"/>
      <c r="D125" s="20" t="s">
        <v>1629</v>
      </c>
      <c r="E125" s="173">
        <v>0.5</v>
      </c>
      <c r="F125" s="20" t="s">
        <v>1624</v>
      </c>
      <c r="G125" s="42" t="s">
        <v>1556</v>
      </c>
      <c r="H125" s="7"/>
    </row>
    <row r="126" spans="1:8" ht="47.25">
      <c r="A126" s="1"/>
      <c r="B126" s="1"/>
      <c r="C126" s="1"/>
      <c r="D126" s="20" t="s">
        <v>1632</v>
      </c>
      <c r="E126" s="9">
        <v>1.4</v>
      </c>
      <c r="F126" s="196" t="s">
        <v>1630</v>
      </c>
      <c r="G126" s="42" t="s">
        <v>1556</v>
      </c>
      <c r="H126" s="7"/>
    </row>
    <row r="127" spans="1:8" ht="45">
      <c r="A127" s="1"/>
      <c r="B127" s="1"/>
      <c r="C127" s="1"/>
      <c r="D127" s="20" t="s">
        <v>1633</v>
      </c>
      <c r="E127" s="9">
        <v>6.4</v>
      </c>
      <c r="F127" s="196" t="s">
        <v>1630</v>
      </c>
      <c r="G127" s="42" t="s">
        <v>1556</v>
      </c>
      <c r="H127" s="7"/>
    </row>
    <row r="128" spans="1:8" ht="45">
      <c r="A128" s="1"/>
      <c r="B128" s="1"/>
      <c r="C128" s="1"/>
      <c r="D128" s="20" t="s">
        <v>1649</v>
      </c>
      <c r="E128" s="9">
        <v>2.8</v>
      </c>
      <c r="F128" s="196" t="s">
        <v>1630</v>
      </c>
      <c r="G128" s="42" t="s">
        <v>1556</v>
      </c>
      <c r="H128" s="7"/>
    </row>
    <row r="129" spans="1:8" ht="45">
      <c r="A129" s="1"/>
      <c r="B129" s="1"/>
      <c r="C129" s="1"/>
      <c r="D129" s="196" t="s">
        <v>1864</v>
      </c>
      <c r="E129" s="9">
        <v>4</v>
      </c>
      <c r="F129" s="29" t="s">
        <v>1666</v>
      </c>
      <c r="G129" s="42" t="s">
        <v>1556</v>
      </c>
      <c r="H129" s="7"/>
    </row>
    <row r="130" spans="1:8" ht="45">
      <c r="A130" s="1"/>
      <c r="B130" s="1"/>
      <c r="C130" s="1"/>
      <c r="D130" s="196" t="s">
        <v>1675</v>
      </c>
      <c r="E130" s="9">
        <v>6</v>
      </c>
      <c r="F130" s="29" t="s">
        <v>1666</v>
      </c>
      <c r="G130" s="42" t="s">
        <v>1556</v>
      </c>
      <c r="H130" s="7"/>
    </row>
    <row r="131" spans="1:8" ht="45">
      <c r="A131" s="1"/>
      <c r="B131" s="1"/>
      <c r="C131" s="1"/>
      <c r="D131" s="196" t="s">
        <v>1676</v>
      </c>
      <c r="E131" s="9">
        <v>4</v>
      </c>
      <c r="F131" s="29" t="s">
        <v>1666</v>
      </c>
      <c r="G131" s="42" t="s">
        <v>1556</v>
      </c>
      <c r="H131" s="7"/>
    </row>
    <row r="132" spans="1:8" ht="45">
      <c r="A132" s="1"/>
      <c r="B132" s="1"/>
      <c r="C132" s="1"/>
      <c r="D132" s="196" t="s">
        <v>1701</v>
      </c>
      <c r="E132" s="9">
        <v>0.3</v>
      </c>
      <c r="F132" s="5" t="s">
        <v>1738</v>
      </c>
      <c r="G132" s="42" t="s">
        <v>1556</v>
      </c>
      <c r="H132" s="7"/>
    </row>
    <row r="133" spans="1:8" ht="45">
      <c r="A133" s="1"/>
      <c r="B133" s="1"/>
      <c r="C133" s="1"/>
      <c r="D133" s="20" t="s">
        <v>1857</v>
      </c>
      <c r="E133" s="9">
        <v>2.7</v>
      </c>
      <c r="F133" s="20" t="s">
        <v>1855</v>
      </c>
      <c r="G133" s="42" t="s">
        <v>1556</v>
      </c>
      <c r="H133" s="7"/>
    </row>
    <row r="134" spans="1:8" ht="45">
      <c r="A134" s="1"/>
      <c r="B134" s="1"/>
      <c r="C134" s="1"/>
      <c r="D134" s="20" t="s">
        <v>1860</v>
      </c>
      <c r="E134" s="9">
        <v>2.9</v>
      </c>
      <c r="F134" s="20" t="s">
        <v>1855</v>
      </c>
      <c r="G134" s="42" t="s">
        <v>1556</v>
      </c>
      <c r="H134" s="7"/>
    </row>
    <row r="135" spans="1:8" ht="45">
      <c r="A135" s="1"/>
      <c r="B135" s="1"/>
      <c r="C135" s="1"/>
      <c r="D135" s="202" t="s">
        <v>1723</v>
      </c>
      <c r="E135" s="9">
        <v>0.33</v>
      </c>
      <c r="F135" s="5" t="s">
        <v>1703</v>
      </c>
      <c r="G135" s="42" t="s">
        <v>1556</v>
      </c>
      <c r="H135" s="7"/>
    </row>
    <row r="136" spans="1:8" ht="45">
      <c r="A136" s="1"/>
      <c r="B136" s="1"/>
      <c r="C136" s="1"/>
      <c r="D136" s="202" t="s">
        <v>1728</v>
      </c>
      <c r="E136" s="9">
        <v>6.91</v>
      </c>
      <c r="F136" s="5" t="s">
        <v>1703</v>
      </c>
      <c r="G136" s="42" t="s">
        <v>1556</v>
      </c>
      <c r="H136" s="7"/>
    </row>
    <row r="137" spans="1:8" ht="45">
      <c r="A137" s="1"/>
      <c r="B137" s="1"/>
      <c r="C137" s="1"/>
      <c r="D137" s="202" t="s">
        <v>1745</v>
      </c>
      <c r="E137" s="9">
        <v>2.9</v>
      </c>
      <c r="F137" s="5" t="s">
        <v>1703</v>
      </c>
      <c r="G137" s="42" t="s">
        <v>1556</v>
      </c>
      <c r="H137" s="7"/>
    </row>
    <row r="138" spans="1:8" ht="45">
      <c r="A138" s="1"/>
      <c r="B138" s="1"/>
      <c r="C138" s="1"/>
      <c r="D138" s="202" t="s">
        <v>1749</v>
      </c>
      <c r="E138" s="9">
        <v>2.7</v>
      </c>
      <c r="F138" s="5" t="s">
        <v>1703</v>
      </c>
      <c r="G138" s="42" t="s">
        <v>1556</v>
      </c>
      <c r="H138" s="7"/>
    </row>
    <row r="139" spans="1:8" ht="45">
      <c r="A139" s="1"/>
      <c r="B139" s="1"/>
      <c r="C139" s="1"/>
      <c r="D139" s="202" t="s">
        <v>1760</v>
      </c>
      <c r="E139" s="9">
        <v>2.9</v>
      </c>
      <c r="F139" s="5" t="s">
        <v>1703</v>
      </c>
      <c r="G139" s="42" t="s">
        <v>1556</v>
      </c>
      <c r="H139" s="7"/>
    </row>
    <row r="140" spans="1:8" ht="45">
      <c r="A140" s="1"/>
      <c r="B140" s="1"/>
      <c r="C140" s="1"/>
      <c r="D140" s="202" t="s">
        <v>1764</v>
      </c>
      <c r="E140" s="9">
        <v>1.5</v>
      </c>
      <c r="F140" s="5" t="s">
        <v>1703</v>
      </c>
      <c r="G140" s="42" t="s">
        <v>1556</v>
      </c>
      <c r="H140" s="7"/>
    </row>
    <row r="141" spans="1:8" ht="45">
      <c r="A141" s="1"/>
      <c r="B141" s="1"/>
      <c r="C141" s="1"/>
      <c r="D141" s="202" t="s">
        <v>1767</v>
      </c>
      <c r="E141" s="9">
        <v>2.9</v>
      </c>
      <c r="F141" s="5" t="s">
        <v>1703</v>
      </c>
      <c r="G141" s="42" t="s">
        <v>1556</v>
      </c>
      <c r="H141" s="7"/>
    </row>
    <row r="142" spans="1:8" ht="45">
      <c r="A142" s="1"/>
      <c r="B142" s="1"/>
      <c r="C142" s="1"/>
      <c r="D142" s="202" t="s">
        <v>1779</v>
      </c>
      <c r="E142" s="9">
        <v>2</v>
      </c>
      <c r="F142" s="5" t="s">
        <v>1703</v>
      </c>
      <c r="G142" s="42" t="s">
        <v>1556</v>
      </c>
      <c r="H142" s="7"/>
    </row>
    <row r="143" spans="1:8" ht="45">
      <c r="A143" s="1"/>
      <c r="B143" s="1"/>
      <c r="C143" s="1"/>
      <c r="D143" s="202" t="s">
        <v>1783</v>
      </c>
      <c r="E143" s="9">
        <v>2.9</v>
      </c>
      <c r="F143" s="5" t="s">
        <v>1703</v>
      </c>
      <c r="G143" s="42" t="s">
        <v>1556</v>
      </c>
      <c r="H143" s="7"/>
    </row>
    <row r="144" spans="1:8" ht="45">
      <c r="A144" s="1"/>
      <c r="B144" s="1"/>
      <c r="C144" s="1"/>
      <c r="D144" s="202" t="s">
        <v>1791</v>
      </c>
      <c r="E144" s="9">
        <v>1.5</v>
      </c>
      <c r="F144" s="5" t="s">
        <v>1703</v>
      </c>
      <c r="G144" s="42" t="s">
        <v>1556</v>
      </c>
      <c r="H144" s="7"/>
    </row>
    <row r="145" spans="1:8" ht="45">
      <c r="A145" s="1"/>
      <c r="B145" s="1"/>
      <c r="C145" s="1"/>
      <c r="D145" s="202" t="s">
        <v>1795</v>
      </c>
      <c r="E145" s="9">
        <v>2.8</v>
      </c>
      <c r="F145" s="5" t="s">
        <v>1703</v>
      </c>
      <c r="G145" s="42" t="s">
        <v>1556</v>
      </c>
      <c r="H145" s="7"/>
    </row>
    <row r="146" spans="1:8" ht="45">
      <c r="A146" s="1"/>
      <c r="B146" s="1"/>
      <c r="C146" s="1"/>
      <c r="D146" s="202" t="s">
        <v>1799</v>
      </c>
      <c r="E146" s="9">
        <v>2.9</v>
      </c>
      <c r="F146" s="5" t="s">
        <v>1703</v>
      </c>
      <c r="G146" s="42" t="s">
        <v>1556</v>
      </c>
      <c r="H146" s="7"/>
    </row>
    <row r="147" spans="1:8" ht="45">
      <c r="A147" s="1"/>
      <c r="B147" s="1"/>
      <c r="C147" s="1"/>
      <c r="D147" s="202" t="s">
        <v>1803</v>
      </c>
      <c r="E147" s="9">
        <v>2.7</v>
      </c>
      <c r="F147" s="5" t="s">
        <v>1703</v>
      </c>
      <c r="G147" s="42" t="s">
        <v>1556</v>
      </c>
      <c r="H147" s="7"/>
    </row>
    <row r="148" spans="1:8" ht="45">
      <c r="A148" s="1"/>
      <c r="B148" s="1"/>
      <c r="C148" s="1"/>
      <c r="D148" s="202" t="s">
        <v>1807</v>
      </c>
      <c r="E148" s="9">
        <v>2.9</v>
      </c>
      <c r="F148" s="5" t="s">
        <v>1703</v>
      </c>
      <c r="G148" s="42" t="s">
        <v>1556</v>
      </c>
      <c r="H148" s="7"/>
    </row>
    <row r="149" spans="1:8" ht="45">
      <c r="A149" s="1"/>
      <c r="B149" s="1"/>
      <c r="C149" s="1"/>
      <c r="D149" s="202" t="s">
        <v>1810</v>
      </c>
      <c r="E149" s="9">
        <v>2.8</v>
      </c>
      <c r="F149" s="5" t="s">
        <v>1703</v>
      </c>
      <c r="G149" s="42" t="s">
        <v>1556</v>
      </c>
      <c r="H149" s="7"/>
    </row>
    <row r="150" spans="1:8" ht="45">
      <c r="A150" s="1"/>
      <c r="B150" s="1"/>
      <c r="C150" s="1"/>
      <c r="D150" s="202" t="s">
        <v>1815</v>
      </c>
      <c r="E150" s="9">
        <v>2.8</v>
      </c>
      <c r="F150" s="5" t="s">
        <v>1703</v>
      </c>
      <c r="G150" s="42" t="s">
        <v>1556</v>
      </c>
      <c r="H150" s="7"/>
    </row>
    <row r="151" spans="1:8" ht="45">
      <c r="A151" s="1"/>
      <c r="B151" s="1"/>
      <c r="C151" s="1"/>
      <c r="D151" s="202" t="s">
        <v>1817</v>
      </c>
      <c r="E151" s="9">
        <v>2.9</v>
      </c>
      <c r="F151" s="5" t="s">
        <v>1703</v>
      </c>
      <c r="G151" s="42" t="s">
        <v>1556</v>
      </c>
      <c r="H151" s="7"/>
    </row>
    <row r="152" spans="1:8" ht="45">
      <c r="A152" s="1"/>
      <c r="B152" s="1"/>
      <c r="C152" s="1"/>
      <c r="D152" s="202" t="s">
        <v>1820</v>
      </c>
      <c r="E152" s="9">
        <v>2</v>
      </c>
      <c r="F152" s="5" t="s">
        <v>1703</v>
      </c>
      <c r="G152" s="42" t="s">
        <v>1556</v>
      </c>
      <c r="H152" s="7"/>
    </row>
    <row r="153" spans="1:8" ht="45">
      <c r="A153" s="1"/>
      <c r="B153" s="1"/>
      <c r="C153" s="1"/>
      <c r="D153" s="202" t="s">
        <v>1823</v>
      </c>
      <c r="E153" s="9">
        <v>2</v>
      </c>
      <c r="F153" s="5" t="s">
        <v>1703</v>
      </c>
      <c r="G153" s="42" t="s">
        <v>1556</v>
      </c>
      <c r="H153" s="7"/>
    </row>
    <row r="154" spans="1:8" ht="45">
      <c r="A154" s="1"/>
      <c r="B154" s="1"/>
      <c r="C154" s="1"/>
      <c r="D154" s="202" t="s">
        <v>1826</v>
      </c>
      <c r="E154" s="9">
        <v>2.8</v>
      </c>
      <c r="F154" s="5" t="s">
        <v>1703</v>
      </c>
      <c r="G154" s="42" t="s">
        <v>1556</v>
      </c>
      <c r="H154" s="7"/>
    </row>
    <row r="155" spans="1:8" ht="45">
      <c r="A155" s="1"/>
      <c r="B155" s="1"/>
      <c r="C155" s="1"/>
      <c r="D155" s="6" t="s">
        <v>1878</v>
      </c>
      <c r="E155" s="7">
        <v>3</v>
      </c>
      <c r="F155" s="6" t="s">
        <v>1875</v>
      </c>
      <c r="G155" s="42" t="s">
        <v>1556</v>
      </c>
      <c r="H155" s="7"/>
    </row>
    <row r="156" spans="1:8" ht="45">
      <c r="A156" s="1"/>
      <c r="B156" s="1"/>
      <c r="C156" s="1"/>
      <c r="D156" s="5" t="s">
        <v>1887</v>
      </c>
      <c r="E156" s="9">
        <v>1.2</v>
      </c>
      <c r="F156" s="5" t="s">
        <v>1883</v>
      </c>
      <c r="G156" s="42" t="s">
        <v>1556</v>
      </c>
      <c r="H156" s="7"/>
    </row>
    <row r="157" spans="1:8" ht="45">
      <c r="A157" s="1"/>
      <c r="B157" s="1"/>
      <c r="C157" s="1"/>
      <c r="D157" s="5" t="s">
        <v>1889</v>
      </c>
      <c r="E157" s="9">
        <v>1.2</v>
      </c>
      <c r="F157" s="5" t="s">
        <v>1883</v>
      </c>
      <c r="G157" s="42" t="s">
        <v>1556</v>
      </c>
      <c r="H157" s="7"/>
    </row>
    <row r="158" spans="1:8" ht="45" customHeight="1">
      <c r="A158" s="1"/>
      <c r="B158" s="1"/>
      <c r="C158" s="212" t="s">
        <v>1930</v>
      </c>
      <c r="D158" s="207" t="s">
        <v>1913</v>
      </c>
      <c r="E158" s="9">
        <v>235</v>
      </c>
      <c r="F158" s="214" t="s">
        <v>1919</v>
      </c>
      <c r="G158" s="212" t="s">
        <v>1504</v>
      </c>
      <c r="H158" s="7"/>
    </row>
    <row r="159" spans="1:8">
      <c r="A159" s="1"/>
      <c r="B159" s="1"/>
      <c r="C159" s="1" t="s">
        <v>12</v>
      </c>
      <c r="D159" s="1"/>
      <c r="E159" s="9">
        <f>SUM(E102:E158)</f>
        <v>395.24000000000007</v>
      </c>
      <c r="F159" s="5"/>
      <c r="G159" s="1"/>
    </row>
    <row r="160" spans="1:8">
      <c r="A160" s="1"/>
      <c r="B160" s="1"/>
      <c r="C160" s="1" t="s">
        <v>150</v>
      </c>
      <c r="D160" s="1"/>
      <c r="E160" s="108">
        <f>E159+E101+E89+E76+E69+E58+E50+E36+E31+E23+E10</f>
        <v>737.23000000000013</v>
      </c>
      <c r="F160" s="5"/>
      <c r="G160" s="1"/>
    </row>
    <row r="161" spans="2:5">
      <c r="B161" t="s">
        <v>1319</v>
      </c>
      <c r="E161" s="7"/>
    </row>
    <row r="162" spans="2:5">
      <c r="E162" s="7"/>
    </row>
    <row r="163" spans="2:5" ht="38.25" customHeight="1"/>
    <row r="164" spans="2:5">
      <c r="E164" s="7"/>
    </row>
  </sheetData>
  <mergeCells count="43">
    <mergeCell ref="A77:A89"/>
    <mergeCell ref="B77:B89"/>
    <mergeCell ref="B70:B76"/>
    <mergeCell ref="A90:A101"/>
    <mergeCell ref="C102:C105"/>
    <mergeCell ref="C77:C82"/>
    <mergeCell ref="C84:C85"/>
    <mergeCell ref="C86:C87"/>
    <mergeCell ref="C90:C92"/>
    <mergeCell ref="C93:C94"/>
    <mergeCell ref="C73:C75"/>
    <mergeCell ref="C70:C71"/>
    <mergeCell ref="B90:B101"/>
    <mergeCell ref="A51:A58"/>
    <mergeCell ref="B51:B58"/>
    <mergeCell ref="A59:A69"/>
    <mergeCell ref="B59:B69"/>
    <mergeCell ref="A70:A76"/>
    <mergeCell ref="A24:A31"/>
    <mergeCell ref="B24:B31"/>
    <mergeCell ref="A32:A36"/>
    <mergeCell ref="B32:B36"/>
    <mergeCell ref="A37:A50"/>
    <mergeCell ref="B37:B50"/>
    <mergeCell ref="A1:G1"/>
    <mergeCell ref="A2:G2"/>
    <mergeCell ref="A4:A10"/>
    <mergeCell ref="B4:B10"/>
    <mergeCell ref="A11:A23"/>
    <mergeCell ref="B11:B23"/>
    <mergeCell ref="C11:C12"/>
    <mergeCell ref="C13:C18"/>
    <mergeCell ref="C19:C20"/>
    <mergeCell ref="C5:C6"/>
    <mergeCell ref="C24:C25"/>
    <mergeCell ref="C33:C34"/>
    <mergeCell ref="C96:C99"/>
    <mergeCell ref="C37:C45"/>
    <mergeCell ref="C27:C30"/>
    <mergeCell ref="C48:C49"/>
    <mergeCell ref="C64:C67"/>
    <mergeCell ref="C59:C63"/>
    <mergeCell ref="C55:C57"/>
  </mergeCells>
  <pageMargins left="0.7" right="0.22" top="0.48" bottom="0.45" header="0.3" footer="0.3"/>
  <pageSetup paperSize="9"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78"/>
  <sheetViews>
    <sheetView topLeftCell="A172" workbookViewId="0">
      <selection activeCell="G182" sqref="G182"/>
    </sheetView>
  </sheetViews>
  <sheetFormatPr defaultRowHeight="15"/>
  <cols>
    <col min="1" max="1" width="6.28515625" customWidth="1"/>
    <col min="2" max="2" width="16.140625" customWidth="1"/>
    <col min="3" max="3" width="18.140625" customWidth="1"/>
    <col min="4" max="4" width="47.28515625" style="6" customWidth="1"/>
    <col min="5" max="5" width="9.7109375" customWidth="1"/>
    <col min="6" max="6" width="24" style="6" customWidth="1"/>
    <col min="7" max="7" width="17.28515625" customWidth="1"/>
    <col min="8" max="8" width="32.85546875" customWidth="1"/>
    <col min="9" max="9" width="17" customWidth="1"/>
    <col min="10" max="10" width="15.28515625" customWidth="1"/>
  </cols>
  <sheetData>
    <row r="1" spans="1:9" ht="21">
      <c r="A1" s="255" t="s">
        <v>55</v>
      </c>
      <c r="B1" s="256"/>
      <c r="C1" s="256"/>
      <c r="D1" s="256"/>
      <c r="E1" s="256"/>
      <c r="F1" s="256"/>
      <c r="G1" s="256"/>
    </row>
    <row r="2" spans="1:9" ht="15.75">
      <c r="A2" s="257" t="s">
        <v>289</v>
      </c>
      <c r="B2" s="257"/>
      <c r="C2" s="257"/>
      <c r="D2" s="257"/>
      <c r="E2" s="257"/>
      <c r="F2" s="257"/>
      <c r="G2" s="257"/>
    </row>
    <row r="3" spans="1:9" s="7" customFormat="1" ht="30" customHeight="1">
      <c r="A3" s="3" t="s">
        <v>0</v>
      </c>
      <c r="B3" s="3" t="s">
        <v>10</v>
      </c>
      <c r="C3" s="3" t="s">
        <v>11</v>
      </c>
      <c r="D3" s="3" t="s">
        <v>54</v>
      </c>
      <c r="E3" s="3" t="s">
        <v>59</v>
      </c>
      <c r="F3" s="3" t="s">
        <v>1473</v>
      </c>
      <c r="G3" s="3" t="s">
        <v>57</v>
      </c>
      <c r="H3" s="6"/>
      <c r="I3" s="6"/>
    </row>
    <row r="4" spans="1:9" ht="95.25" customHeight="1">
      <c r="A4" s="251" t="s">
        <v>1</v>
      </c>
      <c r="B4" s="247" t="s">
        <v>290</v>
      </c>
      <c r="C4" s="8" t="s">
        <v>505</v>
      </c>
      <c r="D4" s="35" t="s">
        <v>933</v>
      </c>
      <c r="E4" s="45">
        <v>0.5</v>
      </c>
      <c r="F4" s="229" t="s">
        <v>1485</v>
      </c>
      <c r="G4" s="44" t="s">
        <v>958</v>
      </c>
      <c r="H4" s="4"/>
      <c r="I4" s="4"/>
    </row>
    <row r="5" spans="1:9" ht="90.75" customHeight="1">
      <c r="A5" s="251"/>
      <c r="B5" s="247"/>
      <c r="C5" s="247" t="s">
        <v>506</v>
      </c>
      <c r="D5" s="34" t="s">
        <v>893</v>
      </c>
      <c r="E5" s="84">
        <v>2</v>
      </c>
      <c r="F5" s="229" t="s">
        <v>1485</v>
      </c>
      <c r="G5" s="44" t="s">
        <v>958</v>
      </c>
      <c r="H5" s="4"/>
      <c r="I5" s="4"/>
    </row>
    <row r="6" spans="1:9" ht="93.75" customHeight="1">
      <c r="A6" s="251"/>
      <c r="B6" s="247"/>
      <c r="C6" s="247"/>
      <c r="D6" s="35" t="s">
        <v>971</v>
      </c>
      <c r="E6" s="45">
        <v>0.5</v>
      </c>
      <c r="F6" s="229" t="s">
        <v>1485</v>
      </c>
      <c r="G6" s="44" t="s">
        <v>958</v>
      </c>
      <c r="H6" s="4"/>
      <c r="I6" s="4"/>
    </row>
    <row r="7" spans="1:9" ht="35.25" customHeight="1">
      <c r="A7" s="251"/>
      <c r="B7" s="247"/>
      <c r="C7" s="247"/>
      <c r="D7" s="93" t="s">
        <v>1381</v>
      </c>
      <c r="E7" s="94">
        <v>0.6</v>
      </c>
      <c r="F7" s="44" t="s">
        <v>1344</v>
      </c>
      <c r="G7" s="229" t="s">
        <v>92</v>
      </c>
      <c r="H7" s="4"/>
      <c r="I7" s="4"/>
    </row>
    <row r="8" spans="1:9" ht="75.75" customHeight="1">
      <c r="A8" s="251"/>
      <c r="B8" s="247"/>
      <c r="C8" s="247"/>
      <c r="D8" s="229" t="s">
        <v>772</v>
      </c>
      <c r="E8" s="36">
        <v>2</v>
      </c>
      <c r="F8" s="229" t="s">
        <v>1403</v>
      </c>
      <c r="G8" s="229" t="s">
        <v>1479</v>
      </c>
      <c r="H8" s="4" t="s">
        <v>1403</v>
      </c>
      <c r="I8" s="7" t="s">
        <v>1398</v>
      </c>
    </row>
    <row r="9" spans="1:9" ht="35.25" customHeight="1">
      <c r="A9" s="251"/>
      <c r="B9" s="247"/>
      <c r="C9" s="247"/>
      <c r="D9" s="37" t="s">
        <v>1181</v>
      </c>
      <c r="E9" s="36">
        <v>0.45</v>
      </c>
      <c r="F9" s="229" t="s">
        <v>1116</v>
      </c>
      <c r="G9" s="229" t="s">
        <v>783</v>
      </c>
      <c r="H9" s="4"/>
      <c r="I9" s="4"/>
    </row>
    <row r="10" spans="1:9" ht="97.5" customHeight="1">
      <c r="A10" s="251"/>
      <c r="B10" s="247"/>
      <c r="C10" s="247" t="s">
        <v>507</v>
      </c>
      <c r="D10" s="66" t="s">
        <v>1095</v>
      </c>
      <c r="E10" s="9">
        <v>0.9</v>
      </c>
      <c r="F10" s="229" t="s">
        <v>1485</v>
      </c>
      <c r="G10" s="229" t="s">
        <v>1078</v>
      </c>
      <c r="H10" s="4"/>
      <c r="I10" s="4"/>
    </row>
    <row r="11" spans="1:9" ht="32.25" customHeight="1">
      <c r="A11" s="251"/>
      <c r="B11" s="247"/>
      <c r="C11" s="247"/>
      <c r="D11" s="37" t="s">
        <v>1182</v>
      </c>
      <c r="E11" s="36">
        <v>0.45</v>
      </c>
      <c r="F11" s="229" t="s">
        <v>1116</v>
      </c>
      <c r="G11" s="229" t="s">
        <v>783</v>
      </c>
      <c r="H11" s="4"/>
      <c r="I11" s="4"/>
    </row>
    <row r="12" spans="1:9" ht="17.25" customHeight="1">
      <c r="A12" s="251"/>
      <c r="B12" s="247"/>
      <c r="C12" s="8" t="s">
        <v>12</v>
      </c>
      <c r="D12" s="8"/>
      <c r="E12" s="87">
        <f>SUM(E4:E11)</f>
        <v>7.4</v>
      </c>
      <c r="F12" s="229"/>
      <c r="G12" s="229"/>
      <c r="H12" s="4"/>
      <c r="I12" s="4"/>
    </row>
    <row r="13" spans="1:9" ht="90">
      <c r="A13" s="251" t="s">
        <v>2</v>
      </c>
      <c r="B13" s="247" t="s">
        <v>291</v>
      </c>
      <c r="C13" s="247" t="s">
        <v>291</v>
      </c>
      <c r="D13" s="34" t="s">
        <v>896</v>
      </c>
      <c r="E13" s="84">
        <v>4</v>
      </c>
      <c r="F13" s="229" t="s">
        <v>1485</v>
      </c>
      <c r="G13" s="44" t="s">
        <v>958</v>
      </c>
      <c r="H13" s="4"/>
      <c r="I13" s="4"/>
    </row>
    <row r="14" spans="1:9" ht="90">
      <c r="A14" s="251"/>
      <c r="B14" s="247"/>
      <c r="C14" s="247"/>
      <c r="D14" s="34" t="s">
        <v>1502</v>
      </c>
      <c r="E14" s="84">
        <v>0.5</v>
      </c>
      <c r="F14" s="229" t="s">
        <v>1485</v>
      </c>
      <c r="G14" s="229" t="s">
        <v>1078</v>
      </c>
      <c r="H14" s="4"/>
      <c r="I14" s="4"/>
    </row>
    <row r="15" spans="1:9">
      <c r="A15" s="251"/>
      <c r="B15" s="247"/>
      <c r="C15" s="8" t="s">
        <v>215</v>
      </c>
      <c r="D15" s="8"/>
      <c r="E15" s="229"/>
      <c r="F15" s="229"/>
      <c r="G15" s="229"/>
      <c r="H15" s="4"/>
      <c r="I15" s="4"/>
    </row>
    <row r="16" spans="1:9" ht="90">
      <c r="A16" s="251"/>
      <c r="B16" s="247"/>
      <c r="C16" s="247" t="s">
        <v>508</v>
      </c>
      <c r="D16" s="59" t="s">
        <v>1063</v>
      </c>
      <c r="E16" s="85">
        <v>2</v>
      </c>
      <c r="F16" s="229" t="s">
        <v>1485</v>
      </c>
      <c r="G16" s="61" t="s">
        <v>1060</v>
      </c>
      <c r="H16" s="4"/>
      <c r="I16" s="4"/>
    </row>
    <row r="17" spans="1:9" ht="90">
      <c r="A17" s="251"/>
      <c r="B17" s="247"/>
      <c r="C17" s="247"/>
      <c r="D17" s="59" t="s">
        <v>1065</v>
      </c>
      <c r="E17" s="85">
        <v>2</v>
      </c>
      <c r="F17" s="229" t="s">
        <v>1485</v>
      </c>
      <c r="G17" s="61" t="s">
        <v>1060</v>
      </c>
      <c r="H17" s="4"/>
      <c r="I17" s="4"/>
    </row>
    <row r="18" spans="1:9">
      <c r="A18" s="251"/>
      <c r="B18" s="247"/>
      <c r="C18" s="8" t="s">
        <v>12</v>
      </c>
      <c r="D18" s="8"/>
      <c r="E18" s="87">
        <f>SUM(E13:E17)</f>
        <v>8.5</v>
      </c>
      <c r="F18" s="229"/>
      <c r="G18" s="229"/>
      <c r="H18" s="4"/>
      <c r="I18" s="4"/>
    </row>
    <row r="19" spans="1:9" ht="90">
      <c r="A19" s="251" t="s">
        <v>3</v>
      </c>
      <c r="B19" s="247" t="s">
        <v>292</v>
      </c>
      <c r="C19" s="247" t="s">
        <v>292</v>
      </c>
      <c r="D19" s="59" t="s">
        <v>1068</v>
      </c>
      <c r="E19" s="85">
        <v>3.5</v>
      </c>
      <c r="F19" s="229" t="s">
        <v>1485</v>
      </c>
      <c r="G19" s="61" t="s">
        <v>1060</v>
      </c>
      <c r="H19" s="4"/>
      <c r="I19" s="4"/>
    </row>
    <row r="20" spans="1:9" ht="90">
      <c r="A20" s="251"/>
      <c r="B20" s="247"/>
      <c r="C20" s="247"/>
      <c r="D20" s="59" t="s">
        <v>1069</v>
      </c>
      <c r="E20" s="85">
        <v>25</v>
      </c>
      <c r="F20" s="229" t="s">
        <v>1485</v>
      </c>
      <c r="G20" s="61" t="s">
        <v>1060</v>
      </c>
      <c r="H20" s="4"/>
      <c r="I20" s="4"/>
    </row>
    <row r="21" spans="1:9" ht="90">
      <c r="A21" s="251"/>
      <c r="B21" s="247"/>
      <c r="C21" s="247"/>
      <c r="D21" s="59" t="s">
        <v>1071</v>
      </c>
      <c r="E21" s="85">
        <v>2</v>
      </c>
      <c r="F21" s="229" t="s">
        <v>1485</v>
      </c>
      <c r="G21" s="61" t="s">
        <v>1060</v>
      </c>
      <c r="H21" s="4"/>
      <c r="I21" s="4"/>
    </row>
    <row r="22" spans="1:9" ht="90">
      <c r="A22" s="251"/>
      <c r="B22" s="247"/>
      <c r="C22" s="247"/>
      <c r="D22" s="66" t="s">
        <v>1455</v>
      </c>
      <c r="E22" s="9">
        <v>0.8</v>
      </c>
      <c r="F22" s="229" t="s">
        <v>1485</v>
      </c>
      <c r="G22" s="229" t="s">
        <v>1078</v>
      </c>
      <c r="H22" s="4"/>
      <c r="I22" s="4"/>
    </row>
    <row r="23" spans="1:9" ht="30">
      <c r="A23" s="251"/>
      <c r="B23" s="247"/>
      <c r="C23" s="247"/>
      <c r="D23" s="230" t="s">
        <v>1304</v>
      </c>
      <c r="E23" s="9">
        <v>2</v>
      </c>
      <c r="F23" s="229" t="s">
        <v>1418</v>
      </c>
      <c r="G23" s="229" t="s">
        <v>92</v>
      </c>
      <c r="H23" s="4"/>
      <c r="I23" s="4"/>
    </row>
    <row r="24" spans="1:9" ht="45">
      <c r="A24" s="251"/>
      <c r="B24" s="247"/>
      <c r="C24" s="247"/>
      <c r="D24" s="229" t="s">
        <v>1387</v>
      </c>
      <c r="E24" s="9">
        <v>10</v>
      </c>
      <c r="F24" s="229" t="s">
        <v>1388</v>
      </c>
      <c r="G24" s="229" t="s">
        <v>1389</v>
      </c>
      <c r="H24" s="4"/>
      <c r="I24" s="4"/>
    </row>
    <row r="25" spans="1:9" ht="90">
      <c r="A25" s="251"/>
      <c r="B25" s="247"/>
      <c r="C25" s="247" t="s">
        <v>509</v>
      </c>
      <c r="D25" s="38" t="s">
        <v>900</v>
      </c>
      <c r="E25" s="84">
        <v>2</v>
      </c>
      <c r="F25" s="229" t="s">
        <v>1485</v>
      </c>
      <c r="G25" s="44" t="s">
        <v>958</v>
      </c>
      <c r="H25" s="4"/>
      <c r="I25" s="4"/>
    </row>
    <row r="26" spans="1:9" ht="45">
      <c r="A26" s="251"/>
      <c r="B26" s="247"/>
      <c r="C26" s="247"/>
      <c r="D26" s="229" t="s">
        <v>1454</v>
      </c>
      <c r="E26" s="36">
        <v>2</v>
      </c>
      <c r="F26" s="229" t="s">
        <v>1205</v>
      </c>
      <c r="G26" s="229" t="s">
        <v>92</v>
      </c>
      <c r="H26" s="4"/>
      <c r="I26" s="4"/>
    </row>
    <row r="27" spans="1:9">
      <c r="A27" s="251"/>
      <c r="B27" s="247"/>
      <c r="C27" s="228" t="s">
        <v>12</v>
      </c>
      <c r="D27" s="11"/>
      <c r="E27" s="88">
        <f>SUM(E19:E26)</f>
        <v>47.3</v>
      </c>
      <c r="F27" s="13"/>
      <c r="G27" s="13"/>
      <c r="H27" s="4"/>
      <c r="I27" s="4"/>
    </row>
    <row r="28" spans="1:9" ht="90">
      <c r="A28" s="251" t="s">
        <v>4</v>
      </c>
      <c r="B28" s="247" t="s">
        <v>293</v>
      </c>
      <c r="C28" s="247" t="s">
        <v>293</v>
      </c>
      <c r="D28" s="34" t="s">
        <v>898</v>
      </c>
      <c r="E28" s="84">
        <v>2</v>
      </c>
      <c r="F28" s="229" t="s">
        <v>1485</v>
      </c>
      <c r="G28" s="44" t="s">
        <v>958</v>
      </c>
    </row>
    <row r="29" spans="1:9" ht="90">
      <c r="A29" s="251"/>
      <c r="B29" s="247"/>
      <c r="C29" s="247"/>
      <c r="D29" s="35" t="s">
        <v>928</v>
      </c>
      <c r="E29" s="45">
        <v>0.3</v>
      </c>
      <c r="F29" s="229" t="s">
        <v>1485</v>
      </c>
      <c r="G29" s="44" t="s">
        <v>958</v>
      </c>
      <c r="H29" s="54"/>
      <c r="I29" s="55"/>
    </row>
    <row r="30" spans="1:9" ht="90">
      <c r="A30" s="251"/>
      <c r="B30" s="247"/>
      <c r="C30" s="247"/>
      <c r="D30" s="34" t="s">
        <v>950</v>
      </c>
      <c r="E30" s="84">
        <v>2</v>
      </c>
      <c r="F30" s="229" t="s">
        <v>1485</v>
      </c>
      <c r="G30" s="44" t="s">
        <v>958</v>
      </c>
      <c r="H30" s="54"/>
      <c r="I30" s="55"/>
    </row>
    <row r="31" spans="1:9" ht="90">
      <c r="A31" s="251"/>
      <c r="B31" s="247"/>
      <c r="C31" s="247"/>
      <c r="D31" s="59" t="s">
        <v>1064</v>
      </c>
      <c r="E31" s="85">
        <v>2</v>
      </c>
      <c r="F31" s="229" t="s">
        <v>1485</v>
      </c>
      <c r="G31" s="61" t="s">
        <v>1060</v>
      </c>
      <c r="H31" s="54"/>
      <c r="I31" s="55"/>
    </row>
    <row r="32" spans="1:9" ht="30">
      <c r="A32" s="251"/>
      <c r="B32" s="247"/>
      <c r="C32" s="247"/>
      <c r="D32" s="37" t="s">
        <v>1166</v>
      </c>
      <c r="E32" s="9">
        <v>0.2</v>
      </c>
      <c r="F32" s="229" t="s">
        <v>485</v>
      </c>
      <c r="G32" s="229" t="s">
        <v>1503</v>
      </c>
      <c r="H32" s="54"/>
      <c r="I32" s="55"/>
    </row>
    <row r="33" spans="1:9" ht="30">
      <c r="A33" s="251"/>
      <c r="B33" s="247"/>
      <c r="C33" s="247"/>
      <c r="D33" s="230" t="s">
        <v>1303</v>
      </c>
      <c r="E33" s="36">
        <v>2</v>
      </c>
      <c r="F33" s="229" t="s">
        <v>1418</v>
      </c>
      <c r="G33" s="229" t="s">
        <v>92</v>
      </c>
      <c r="H33" s="54"/>
      <c r="I33" s="55"/>
    </row>
    <row r="34" spans="1:9">
      <c r="A34" s="251"/>
      <c r="B34" s="247"/>
      <c r="C34" s="8" t="s">
        <v>12</v>
      </c>
      <c r="D34" s="8"/>
      <c r="E34" s="87">
        <f>SUM(E28:E33)</f>
        <v>8.5</v>
      </c>
      <c r="F34" s="229"/>
      <c r="G34" s="229"/>
      <c r="H34" s="4"/>
      <c r="I34" s="4"/>
    </row>
    <row r="35" spans="1:9" ht="75">
      <c r="A35" s="251" t="s">
        <v>5</v>
      </c>
      <c r="B35" s="247" t="s">
        <v>294</v>
      </c>
      <c r="C35" s="247" t="s">
        <v>294</v>
      </c>
      <c r="D35" s="16" t="s">
        <v>864</v>
      </c>
      <c r="E35" s="15">
        <v>0.5</v>
      </c>
      <c r="F35" s="229" t="s">
        <v>1397</v>
      </c>
      <c r="G35" s="25" t="s">
        <v>862</v>
      </c>
      <c r="H35" s="6" t="s">
        <v>1397</v>
      </c>
      <c r="I35" s="6" t="s">
        <v>1398</v>
      </c>
    </row>
    <row r="36" spans="1:9" ht="75">
      <c r="A36" s="251"/>
      <c r="B36" s="247"/>
      <c r="C36" s="247"/>
      <c r="D36" s="16" t="s">
        <v>865</v>
      </c>
      <c r="E36" s="15">
        <v>0.5</v>
      </c>
      <c r="F36" s="229" t="s">
        <v>1397</v>
      </c>
      <c r="G36" s="25" t="s">
        <v>862</v>
      </c>
      <c r="H36" s="6" t="s">
        <v>1397</v>
      </c>
      <c r="I36" s="6" t="s">
        <v>1398</v>
      </c>
    </row>
    <row r="37" spans="1:9" ht="90">
      <c r="A37" s="251"/>
      <c r="B37" s="247"/>
      <c r="C37" s="247"/>
      <c r="D37" s="59" t="s">
        <v>1061</v>
      </c>
      <c r="E37" s="85">
        <v>4</v>
      </c>
      <c r="F37" s="229" t="s">
        <v>1485</v>
      </c>
      <c r="G37" s="61" t="s">
        <v>1060</v>
      </c>
      <c r="H37" s="4"/>
      <c r="I37" s="4"/>
    </row>
    <row r="38" spans="1:9" ht="90">
      <c r="A38" s="251"/>
      <c r="B38" s="247"/>
      <c r="C38" s="247"/>
      <c r="D38" s="59" t="s">
        <v>1062</v>
      </c>
      <c r="E38" s="85">
        <v>2</v>
      </c>
      <c r="F38" s="229" t="s">
        <v>1485</v>
      </c>
      <c r="G38" s="61" t="s">
        <v>1060</v>
      </c>
      <c r="H38" s="4"/>
      <c r="I38" s="4"/>
    </row>
    <row r="39" spans="1:9" ht="90">
      <c r="A39" s="251"/>
      <c r="B39" s="247"/>
      <c r="C39" s="247"/>
      <c r="D39" s="59" t="s">
        <v>1066</v>
      </c>
      <c r="E39" s="85">
        <v>2</v>
      </c>
      <c r="F39" s="229" t="s">
        <v>1485</v>
      </c>
      <c r="G39" s="61" t="s">
        <v>1060</v>
      </c>
      <c r="H39" s="4"/>
      <c r="I39" s="4"/>
    </row>
    <row r="40" spans="1:9" ht="90">
      <c r="A40" s="251"/>
      <c r="B40" s="247"/>
      <c r="C40" s="247"/>
      <c r="D40" s="59" t="s">
        <v>1067</v>
      </c>
      <c r="E40" s="85">
        <v>2</v>
      </c>
      <c r="F40" s="229" t="s">
        <v>1485</v>
      </c>
      <c r="G40" s="61" t="s">
        <v>1060</v>
      </c>
      <c r="H40" s="4"/>
      <c r="I40" s="4"/>
    </row>
    <row r="41" spans="1:9" ht="90">
      <c r="A41" s="251"/>
      <c r="B41" s="247"/>
      <c r="C41" s="247"/>
      <c r="D41" s="59" t="s">
        <v>1070</v>
      </c>
      <c r="E41" s="85">
        <v>4</v>
      </c>
      <c r="F41" s="229" t="s">
        <v>1485</v>
      </c>
      <c r="G41" s="61" t="s">
        <v>1060</v>
      </c>
      <c r="H41" s="4"/>
      <c r="I41" s="4"/>
    </row>
    <row r="42" spans="1:9" ht="30">
      <c r="A42" s="251"/>
      <c r="B42" s="247"/>
      <c r="C42" s="247"/>
      <c r="D42" s="229" t="s">
        <v>1130</v>
      </c>
      <c r="E42" s="36">
        <v>1</v>
      </c>
      <c r="F42" s="229" t="s">
        <v>1116</v>
      </c>
      <c r="G42" s="61" t="s">
        <v>783</v>
      </c>
      <c r="H42" s="4"/>
      <c r="I42" s="4"/>
    </row>
    <row r="43" spans="1:9" ht="75">
      <c r="A43" s="251"/>
      <c r="B43" s="247"/>
      <c r="C43" s="247"/>
      <c r="D43" s="229" t="s">
        <v>628</v>
      </c>
      <c r="E43" s="9">
        <v>3</v>
      </c>
      <c r="F43" s="229" t="s">
        <v>1426</v>
      </c>
      <c r="G43" s="229" t="s">
        <v>626</v>
      </c>
      <c r="H43" s="30" t="s">
        <v>1426</v>
      </c>
      <c r="I43" s="115" t="s">
        <v>1398</v>
      </c>
    </row>
    <row r="44" spans="1:9" ht="75">
      <c r="A44" s="251"/>
      <c r="B44" s="247"/>
      <c r="C44" s="247"/>
      <c r="D44" s="229" t="s">
        <v>629</v>
      </c>
      <c r="E44" s="9">
        <v>4</v>
      </c>
      <c r="F44" s="229" t="s">
        <v>1426</v>
      </c>
      <c r="G44" s="229" t="s">
        <v>626</v>
      </c>
      <c r="H44" s="30" t="s">
        <v>1426</v>
      </c>
      <c r="I44" s="115" t="s">
        <v>1398</v>
      </c>
    </row>
    <row r="45" spans="1:9" ht="75">
      <c r="A45" s="251"/>
      <c r="B45" s="247"/>
      <c r="C45" s="247"/>
      <c r="D45" s="229" t="s">
        <v>630</v>
      </c>
      <c r="E45" s="9">
        <v>4</v>
      </c>
      <c r="F45" s="229" t="s">
        <v>1426</v>
      </c>
      <c r="G45" s="229" t="s">
        <v>626</v>
      </c>
      <c r="H45" s="30" t="s">
        <v>1426</v>
      </c>
      <c r="I45" s="115" t="s">
        <v>1398</v>
      </c>
    </row>
    <row r="46" spans="1:9" ht="75">
      <c r="A46" s="251"/>
      <c r="B46" s="247"/>
      <c r="C46" s="247"/>
      <c r="D46" s="229" t="s">
        <v>631</v>
      </c>
      <c r="E46" s="9">
        <v>3</v>
      </c>
      <c r="F46" s="229" t="s">
        <v>1426</v>
      </c>
      <c r="G46" s="229" t="s">
        <v>626</v>
      </c>
      <c r="H46" s="30" t="s">
        <v>1426</v>
      </c>
      <c r="I46" s="115" t="s">
        <v>1398</v>
      </c>
    </row>
    <row r="47" spans="1:9" ht="58.5" customHeight="1">
      <c r="A47" s="251"/>
      <c r="B47" s="247"/>
      <c r="C47" s="247"/>
      <c r="D47" s="229" t="s">
        <v>1437</v>
      </c>
      <c r="E47" s="9">
        <v>10</v>
      </c>
      <c r="F47" s="229" t="s">
        <v>1205</v>
      </c>
      <c r="G47" s="229" t="s">
        <v>1507</v>
      </c>
      <c r="H47" s="30" t="s">
        <v>1205</v>
      </c>
      <c r="I47" s="4"/>
    </row>
    <row r="48" spans="1:9" ht="90">
      <c r="A48" s="251"/>
      <c r="B48" s="247"/>
      <c r="C48" s="247" t="s">
        <v>510</v>
      </c>
      <c r="D48" s="34" t="s">
        <v>1492</v>
      </c>
      <c r="E48" s="84">
        <v>2</v>
      </c>
      <c r="F48" s="229" t="s">
        <v>1485</v>
      </c>
      <c r="G48" s="44" t="s">
        <v>958</v>
      </c>
      <c r="H48" s="4"/>
      <c r="I48" s="4"/>
    </row>
    <row r="49" spans="1:9" ht="90">
      <c r="A49" s="251"/>
      <c r="B49" s="247"/>
      <c r="C49" s="247"/>
      <c r="D49" s="35" t="s">
        <v>934</v>
      </c>
      <c r="E49" s="45">
        <v>0.1</v>
      </c>
      <c r="F49" s="229" t="s">
        <v>1485</v>
      </c>
      <c r="G49" s="44" t="s">
        <v>958</v>
      </c>
      <c r="H49" s="4"/>
      <c r="I49" s="4"/>
    </row>
    <row r="50" spans="1:9">
      <c r="A50" s="251"/>
      <c r="B50" s="247"/>
      <c r="C50" s="228" t="s">
        <v>12</v>
      </c>
      <c r="D50" s="16"/>
      <c r="E50" s="13">
        <f>SUM(E35:E49)</f>
        <v>42.1</v>
      </c>
      <c r="F50" s="13"/>
      <c r="G50" s="12"/>
      <c r="H50" s="4"/>
      <c r="I50" s="4"/>
    </row>
    <row r="51" spans="1:9" ht="90">
      <c r="A51" s="251" t="s">
        <v>6</v>
      </c>
      <c r="B51" s="247" t="s">
        <v>295</v>
      </c>
      <c r="C51" s="247" t="s">
        <v>295</v>
      </c>
      <c r="D51" s="39" t="s">
        <v>901</v>
      </c>
      <c r="E51" s="84">
        <v>2</v>
      </c>
      <c r="F51" s="229" t="s">
        <v>1485</v>
      </c>
      <c r="G51" s="44" t="s">
        <v>958</v>
      </c>
      <c r="H51" s="4"/>
      <c r="I51" s="4"/>
    </row>
    <row r="52" spans="1:9" ht="90">
      <c r="A52" s="251"/>
      <c r="B52" s="247"/>
      <c r="C52" s="247"/>
      <c r="D52" s="35" t="s">
        <v>931</v>
      </c>
      <c r="E52" s="45">
        <v>0.2</v>
      </c>
      <c r="F52" s="229" t="s">
        <v>1485</v>
      </c>
      <c r="G52" s="44" t="s">
        <v>958</v>
      </c>
      <c r="H52" s="4"/>
      <c r="I52" s="4"/>
    </row>
    <row r="53" spans="1:9" ht="90">
      <c r="A53" s="251"/>
      <c r="B53" s="247"/>
      <c r="C53" s="247"/>
      <c r="D53" s="66" t="s">
        <v>1094</v>
      </c>
      <c r="E53" s="95">
        <v>0.8</v>
      </c>
      <c r="F53" s="229" t="s">
        <v>1485</v>
      </c>
      <c r="G53" s="229" t="s">
        <v>1078</v>
      </c>
      <c r="H53" s="4"/>
      <c r="I53" s="4"/>
    </row>
    <row r="54" spans="1:9" ht="45">
      <c r="A54" s="251"/>
      <c r="B54" s="247"/>
      <c r="C54" s="247" t="s">
        <v>511</v>
      </c>
      <c r="D54" s="229" t="s">
        <v>1323</v>
      </c>
      <c r="E54" s="79">
        <v>8</v>
      </c>
      <c r="F54" s="229" t="s">
        <v>1205</v>
      </c>
      <c r="G54" s="1"/>
      <c r="H54" s="4"/>
      <c r="I54" s="4"/>
    </row>
    <row r="55" spans="1:9" ht="30">
      <c r="A55" s="251"/>
      <c r="B55" s="247"/>
      <c r="C55" s="247"/>
      <c r="D55" s="230" t="s">
        <v>1302</v>
      </c>
      <c r="E55" s="95">
        <v>2</v>
      </c>
      <c r="F55" s="229" t="s">
        <v>1418</v>
      </c>
      <c r="G55" s="229" t="s">
        <v>92</v>
      </c>
      <c r="H55" s="4"/>
      <c r="I55" s="4"/>
    </row>
    <row r="56" spans="1:9">
      <c r="A56" s="251"/>
      <c r="B56" s="247"/>
      <c r="C56" s="8" t="s">
        <v>12</v>
      </c>
      <c r="D56" s="8"/>
      <c r="E56" s="87">
        <f>SUM(E51:E55)</f>
        <v>13</v>
      </c>
      <c r="F56" s="229"/>
      <c r="G56" s="229"/>
      <c r="H56" s="4"/>
      <c r="I56" s="4"/>
    </row>
    <row r="57" spans="1:9" ht="63.75" customHeight="1">
      <c r="A57" s="251" t="s">
        <v>7</v>
      </c>
      <c r="B57" s="247" t="s">
        <v>296</v>
      </c>
      <c r="C57" s="8" t="s">
        <v>296</v>
      </c>
      <c r="D57" s="229" t="s">
        <v>1334</v>
      </c>
      <c r="E57" s="9">
        <v>7</v>
      </c>
      <c r="F57" s="229" t="s">
        <v>1205</v>
      </c>
      <c r="G57" s="229" t="s">
        <v>1507</v>
      </c>
      <c r="H57" s="4"/>
      <c r="I57" s="4"/>
    </row>
    <row r="58" spans="1:9" ht="30">
      <c r="A58" s="251"/>
      <c r="B58" s="247"/>
      <c r="C58" s="247" t="s">
        <v>1451</v>
      </c>
      <c r="D58" s="230" t="s">
        <v>1301</v>
      </c>
      <c r="E58" s="36">
        <v>2</v>
      </c>
      <c r="F58" s="229" t="s">
        <v>1418</v>
      </c>
      <c r="G58" s="229" t="s">
        <v>92</v>
      </c>
      <c r="H58" s="4"/>
      <c r="I58" s="4"/>
    </row>
    <row r="59" spans="1:9" ht="75">
      <c r="A59" s="251"/>
      <c r="B59" s="247"/>
      <c r="C59" s="247"/>
      <c r="D59" s="229" t="s">
        <v>763</v>
      </c>
      <c r="E59" s="9">
        <v>42</v>
      </c>
      <c r="F59" s="229" t="s">
        <v>1403</v>
      </c>
      <c r="G59" s="229" t="s">
        <v>787</v>
      </c>
      <c r="H59" s="4" t="s">
        <v>1403</v>
      </c>
      <c r="I59" s="7" t="s">
        <v>1398</v>
      </c>
    </row>
    <row r="60" spans="1:9" ht="20.25" customHeight="1">
      <c r="A60" s="251"/>
      <c r="B60" s="247"/>
      <c r="C60" s="228" t="s">
        <v>12</v>
      </c>
      <c r="D60" s="16"/>
      <c r="E60" s="90">
        <f>SUM(E57:E59)</f>
        <v>51</v>
      </c>
      <c r="F60" s="15"/>
      <c r="G60" s="21"/>
      <c r="H60" s="4"/>
      <c r="I60" s="4"/>
    </row>
    <row r="61" spans="1:9" ht="99.75" customHeight="1">
      <c r="A61" s="251" t="s">
        <v>9</v>
      </c>
      <c r="B61" s="247" t="s">
        <v>297</v>
      </c>
      <c r="C61" s="247" t="s">
        <v>297</v>
      </c>
      <c r="D61" s="34" t="s">
        <v>1474</v>
      </c>
      <c r="E61" s="84">
        <v>2</v>
      </c>
      <c r="F61" s="229" t="s">
        <v>1485</v>
      </c>
      <c r="G61" s="44" t="s">
        <v>958</v>
      </c>
      <c r="H61" s="4"/>
      <c r="I61" s="4"/>
    </row>
    <row r="62" spans="1:9" ht="35.25" customHeight="1">
      <c r="A62" s="251"/>
      <c r="B62" s="247"/>
      <c r="C62" s="247"/>
      <c r="D62" s="230" t="s">
        <v>1300</v>
      </c>
      <c r="E62" s="9">
        <v>2</v>
      </c>
      <c r="F62" s="229" t="s">
        <v>1418</v>
      </c>
      <c r="G62" s="229" t="s">
        <v>92</v>
      </c>
      <c r="H62" s="4"/>
      <c r="I62" s="4"/>
    </row>
    <row r="63" spans="1:9" ht="90">
      <c r="A63" s="251"/>
      <c r="B63" s="247"/>
      <c r="C63" s="247" t="s">
        <v>512</v>
      </c>
      <c r="D63" s="39" t="s">
        <v>903</v>
      </c>
      <c r="E63" s="84">
        <v>2.5</v>
      </c>
      <c r="F63" s="229" t="s">
        <v>1485</v>
      </c>
      <c r="G63" s="44" t="s">
        <v>958</v>
      </c>
      <c r="H63" s="4"/>
      <c r="I63" s="4"/>
    </row>
    <row r="64" spans="1:9" ht="90">
      <c r="A64" s="251"/>
      <c r="B64" s="247"/>
      <c r="C64" s="247"/>
      <c r="D64" s="35" t="s">
        <v>930</v>
      </c>
      <c r="E64" s="45">
        <v>0.1</v>
      </c>
      <c r="F64" s="229" t="s">
        <v>1485</v>
      </c>
      <c r="G64" s="44" t="s">
        <v>958</v>
      </c>
      <c r="H64" s="4"/>
      <c r="I64" s="4"/>
    </row>
    <row r="65" spans="1:9" ht="30">
      <c r="A65" s="251"/>
      <c r="B65" s="247"/>
      <c r="C65" s="247"/>
      <c r="D65" s="230" t="s">
        <v>1296</v>
      </c>
      <c r="E65" s="9">
        <v>2</v>
      </c>
      <c r="F65" s="229" t="s">
        <v>1418</v>
      </c>
      <c r="G65" s="229" t="s">
        <v>92</v>
      </c>
      <c r="H65" s="4"/>
      <c r="I65" s="4"/>
    </row>
    <row r="66" spans="1:9" ht="30">
      <c r="A66" s="251"/>
      <c r="B66" s="247"/>
      <c r="C66" s="247"/>
      <c r="D66" s="230" t="s">
        <v>1305</v>
      </c>
      <c r="E66" s="36">
        <v>2</v>
      </c>
      <c r="F66" s="229" t="s">
        <v>1418</v>
      </c>
      <c r="G66" s="229" t="s">
        <v>92</v>
      </c>
      <c r="H66" s="4"/>
      <c r="I66" s="4"/>
    </row>
    <row r="67" spans="1:9" ht="16.5" customHeight="1">
      <c r="A67" s="251"/>
      <c r="B67" s="247"/>
      <c r="C67" s="8" t="s">
        <v>513</v>
      </c>
      <c r="D67" s="35"/>
      <c r="E67" s="45"/>
      <c r="F67" s="44"/>
      <c r="G67" s="229"/>
      <c r="H67" s="4"/>
      <c r="I67" s="4"/>
    </row>
    <row r="68" spans="1:9" ht="28.5" customHeight="1">
      <c r="A68" s="251"/>
      <c r="B68" s="247"/>
      <c r="C68" s="8" t="s">
        <v>12</v>
      </c>
      <c r="D68" s="8"/>
      <c r="E68" s="87">
        <f>SUM(E61:E67)</f>
        <v>10.6</v>
      </c>
      <c r="F68" s="229"/>
      <c r="G68" s="229"/>
      <c r="H68" s="4"/>
      <c r="I68" s="4"/>
    </row>
    <row r="69" spans="1:9" ht="122.25" customHeight="1">
      <c r="A69" s="251" t="s">
        <v>13</v>
      </c>
      <c r="B69" s="247" t="s">
        <v>298</v>
      </c>
      <c r="C69" s="247" t="s">
        <v>298</v>
      </c>
      <c r="D69" s="34" t="s">
        <v>890</v>
      </c>
      <c r="E69" s="45">
        <v>12</v>
      </c>
      <c r="F69" s="229" t="s">
        <v>1485</v>
      </c>
      <c r="G69" s="44" t="s">
        <v>958</v>
      </c>
      <c r="H69" s="4"/>
      <c r="I69" s="4"/>
    </row>
    <row r="70" spans="1:9" ht="115.5" customHeight="1">
      <c r="A70" s="251"/>
      <c r="B70" s="247"/>
      <c r="C70" s="247"/>
      <c r="D70" s="34" t="s">
        <v>894</v>
      </c>
      <c r="E70" s="84">
        <v>2.5</v>
      </c>
      <c r="F70" s="229" t="s">
        <v>1485</v>
      </c>
      <c r="G70" s="44" t="s">
        <v>958</v>
      </c>
      <c r="H70" s="4"/>
      <c r="I70" s="4"/>
    </row>
    <row r="71" spans="1:9" ht="36" customHeight="1">
      <c r="A71" s="251"/>
      <c r="B71" s="247"/>
      <c r="C71" s="247"/>
      <c r="D71" s="61" t="s">
        <v>1380</v>
      </c>
      <c r="E71" s="96">
        <v>4</v>
      </c>
      <c r="F71" s="229" t="s">
        <v>1344</v>
      </c>
      <c r="G71" s="229" t="s">
        <v>92</v>
      </c>
      <c r="H71" s="4"/>
      <c r="I71" s="4"/>
    </row>
    <row r="72" spans="1:9" ht="75">
      <c r="A72" s="251"/>
      <c r="B72" s="247"/>
      <c r="C72" s="247"/>
      <c r="D72" s="229" t="s">
        <v>764</v>
      </c>
      <c r="E72" s="36">
        <v>37.5</v>
      </c>
      <c r="F72" s="229" t="s">
        <v>1403</v>
      </c>
      <c r="G72" s="229" t="s">
        <v>787</v>
      </c>
      <c r="H72" s="4" t="s">
        <v>1403</v>
      </c>
      <c r="I72" s="7" t="s">
        <v>1398</v>
      </c>
    </row>
    <row r="73" spans="1:9" ht="90">
      <c r="A73" s="251"/>
      <c r="B73" s="247"/>
      <c r="C73" s="247" t="s">
        <v>519</v>
      </c>
      <c r="D73" s="34" t="s">
        <v>897</v>
      </c>
      <c r="E73" s="84">
        <v>2</v>
      </c>
      <c r="F73" s="229" t="s">
        <v>1485</v>
      </c>
      <c r="G73" s="44" t="s">
        <v>958</v>
      </c>
    </row>
    <row r="74" spans="1:9" ht="90">
      <c r="A74" s="251"/>
      <c r="B74" s="247"/>
      <c r="C74" s="247"/>
      <c r="D74" s="34" t="s">
        <v>965</v>
      </c>
      <c r="E74" s="84">
        <v>2</v>
      </c>
      <c r="F74" s="229" t="s">
        <v>1485</v>
      </c>
      <c r="G74" s="44" t="s">
        <v>958</v>
      </c>
      <c r="H74" s="56"/>
      <c r="I74" s="55"/>
    </row>
    <row r="75" spans="1:9" ht="30">
      <c r="A75" s="251"/>
      <c r="B75" s="247"/>
      <c r="C75" s="247"/>
      <c r="D75" s="34" t="s">
        <v>1124</v>
      </c>
      <c r="E75" s="84">
        <v>1</v>
      </c>
      <c r="F75" s="229" t="s">
        <v>1116</v>
      </c>
      <c r="G75" s="34" t="s">
        <v>783</v>
      </c>
      <c r="H75" s="56"/>
      <c r="I75" s="55"/>
    </row>
    <row r="76" spans="1:9" ht="75">
      <c r="A76" s="251"/>
      <c r="B76" s="247"/>
      <c r="C76" s="247"/>
      <c r="D76" s="229" t="s">
        <v>627</v>
      </c>
      <c r="E76" s="9">
        <v>3.5</v>
      </c>
      <c r="F76" s="229" t="s">
        <v>1426</v>
      </c>
      <c r="G76" s="229" t="s">
        <v>626</v>
      </c>
      <c r="H76" s="30" t="s">
        <v>1426</v>
      </c>
      <c r="I76" s="115" t="s">
        <v>1398</v>
      </c>
    </row>
    <row r="77" spans="1:9" ht="75">
      <c r="A77" s="251"/>
      <c r="B77" s="247"/>
      <c r="C77" s="247"/>
      <c r="D77" s="229" t="s">
        <v>634</v>
      </c>
      <c r="E77" s="9">
        <v>0.5</v>
      </c>
      <c r="F77" s="229" t="s">
        <v>1426</v>
      </c>
      <c r="G77" s="229" t="s">
        <v>487</v>
      </c>
      <c r="H77" s="30" t="s">
        <v>1426</v>
      </c>
      <c r="I77" s="115" t="s">
        <v>1398</v>
      </c>
    </row>
    <row r="78" spans="1:9" ht="89.25" customHeight="1">
      <c r="A78" s="251"/>
      <c r="B78" s="247"/>
      <c r="C78" s="8" t="s">
        <v>518</v>
      </c>
      <c r="D78" s="39" t="s">
        <v>1493</v>
      </c>
      <c r="E78" s="84">
        <v>2</v>
      </c>
      <c r="F78" s="229" t="s">
        <v>1485</v>
      </c>
      <c r="G78" s="44" t="s">
        <v>958</v>
      </c>
      <c r="H78" s="4"/>
      <c r="I78" s="4"/>
    </row>
    <row r="79" spans="1:9">
      <c r="A79" s="251"/>
      <c r="B79" s="247"/>
      <c r="C79" s="8" t="s">
        <v>12</v>
      </c>
      <c r="D79" s="8"/>
      <c r="E79" s="87">
        <f>SUM(E69:E78)</f>
        <v>67</v>
      </c>
      <c r="F79" s="229"/>
      <c r="G79" s="229"/>
      <c r="H79" s="4"/>
      <c r="I79" s="4"/>
    </row>
    <row r="80" spans="1:9" ht="90">
      <c r="A80" s="251" t="s">
        <v>14</v>
      </c>
      <c r="B80" s="247" t="s">
        <v>299</v>
      </c>
      <c r="C80" s="247" t="s">
        <v>299</v>
      </c>
      <c r="D80" s="35" t="s">
        <v>970</v>
      </c>
      <c r="E80" s="45">
        <v>0.5</v>
      </c>
      <c r="F80" s="229" t="s">
        <v>1485</v>
      </c>
      <c r="G80" s="44" t="s">
        <v>958</v>
      </c>
      <c r="H80" s="4"/>
      <c r="I80" s="4"/>
    </row>
    <row r="81" spans="1:9" ht="75">
      <c r="A81" s="251"/>
      <c r="B81" s="247"/>
      <c r="C81" s="247"/>
      <c r="D81" s="229" t="s">
        <v>773</v>
      </c>
      <c r="E81" s="36">
        <v>0.5</v>
      </c>
      <c r="F81" s="229" t="s">
        <v>1403</v>
      </c>
      <c r="G81" s="229" t="s">
        <v>1479</v>
      </c>
      <c r="H81" s="6" t="s">
        <v>1403</v>
      </c>
      <c r="I81" s="7" t="s">
        <v>1398</v>
      </c>
    </row>
    <row r="82" spans="1:9" ht="90">
      <c r="A82" s="251"/>
      <c r="B82" s="247"/>
      <c r="C82" s="8" t="s">
        <v>514</v>
      </c>
      <c r="D82" s="34" t="s">
        <v>904</v>
      </c>
      <c r="E82" s="84">
        <v>2</v>
      </c>
      <c r="F82" s="229" t="s">
        <v>1485</v>
      </c>
      <c r="G82" s="44" t="s">
        <v>958</v>
      </c>
      <c r="H82" s="4"/>
      <c r="I82" s="4"/>
    </row>
    <row r="83" spans="1:9">
      <c r="A83" s="251"/>
      <c r="B83" s="247"/>
      <c r="C83" s="228" t="s">
        <v>12</v>
      </c>
      <c r="D83" s="11"/>
      <c r="E83" s="88">
        <f>SUM(E80:E82)</f>
        <v>3</v>
      </c>
      <c r="F83" s="13"/>
      <c r="G83" s="13"/>
      <c r="H83" s="4"/>
      <c r="I83" s="4"/>
    </row>
    <row r="84" spans="1:9" ht="90">
      <c r="A84" s="267">
        <v>11</v>
      </c>
      <c r="B84" s="266" t="s">
        <v>300</v>
      </c>
      <c r="C84" s="247" t="s">
        <v>300</v>
      </c>
      <c r="D84" s="34" t="s">
        <v>969</v>
      </c>
      <c r="E84" s="45">
        <v>13</v>
      </c>
      <c r="F84" s="229" t="s">
        <v>1485</v>
      </c>
      <c r="G84" s="44" t="s">
        <v>958</v>
      </c>
    </row>
    <row r="85" spans="1:9" ht="90">
      <c r="A85" s="267"/>
      <c r="B85" s="266"/>
      <c r="C85" s="247"/>
      <c r="D85" s="34" t="s">
        <v>895</v>
      </c>
      <c r="E85" s="84">
        <v>2.5</v>
      </c>
      <c r="F85" s="229" t="s">
        <v>1485</v>
      </c>
      <c r="G85" s="44" t="s">
        <v>958</v>
      </c>
    </row>
    <row r="86" spans="1:9" ht="45">
      <c r="A86" s="267"/>
      <c r="B86" s="266"/>
      <c r="C86" s="247"/>
      <c r="D86" s="230" t="s">
        <v>1299</v>
      </c>
      <c r="E86" s="36">
        <v>2</v>
      </c>
      <c r="F86" s="229" t="s">
        <v>1418</v>
      </c>
      <c r="G86" s="229" t="s">
        <v>92</v>
      </c>
    </row>
    <row r="87" spans="1:9" ht="30">
      <c r="A87" s="267"/>
      <c r="B87" s="266"/>
      <c r="C87" s="8" t="s">
        <v>515</v>
      </c>
      <c r="D87" s="230" t="s">
        <v>1306</v>
      </c>
      <c r="E87" s="9">
        <v>2</v>
      </c>
      <c r="F87" s="229" t="s">
        <v>1418</v>
      </c>
      <c r="G87" s="229" t="s">
        <v>92</v>
      </c>
    </row>
    <row r="88" spans="1:9">
      <c r="A88" s="267"/>
      <c r="B88" s="266"/>
      <c r="C88" s="8" t="s">
        <v>12</v>
      </c>
      <c r="D88" s="8"/>
      <c r="E88" s="87">
        <f>SUM(E84:E87)</f>
        <v>19.5</v>
      </c>
      <c r="F88" s="229"/>
      <c r="G88" s="229"/>
    </row>
    <row r="89" spans="1:9" ht="90">
      <c r="A89" s="267">
        <v>12</v>
      </c>
      <c r="B89" s="266" t="s">
        <v>301</v>
      </c>
      <c r="C89" s="247" t="s">
        <v>520</v>
      </c>
      <c r="D89" s="34" t="s">
        <v>899</v>
      </c>
      <c r="E89" s="84">
        <v>2</v>
      </c>
      <c r="F89" s="229" t="s">
        <v>1485</v>
      </c>
      <c r="G89" s="44" t="s">
        <v>958</v>
      </c>
    </row>
    <row r="90" spans="1:9" ht="90">
      <c r="A90" s="267"/>
      <c r="B90" s="266"/>
      <c r="C90" s="247"/>
      <c r="D90" s="34" t="s">
        <v>972</v>
      </c>
      <c r="E90" s="45">
        <v>0.5</v>
      </c>
      <c r="F90" s="229" t="s">
        <v>1485</v>
      </c>
      <c r="G90" s="44" t="s">
        <v>958</v>
      </c>
    </row>
    <row r="91" spans="1:9" ht="90">
      <c r="A91" s="267"/>
      <c r="B91" s="266"/>
      <c r="C91" s="247"/>
      <c r="D91" s="35" t="s">
        <v>932</v>
      </c>
      <c r="E91" s="45">
        <v>0.5</v>
      </c>
      <c r="F91" s="229" t="s">
        <v>1485</v>
      </c>
      <c r="G91" s="44" t="s">
        <v>958</v>
      </c>
    </row>
    <row r="92" spans="1:9" ht="45">
      <c r="A92" s="267"/>
      <c r="B92" s="266"/>
      <c r="C92" s="247"/>
      <c r="D92" s="230" t="s">
        <v>1298</v>
      </c>
      <c r="E92" s="9">
        <v>2</v>
      </c>
      <c r="F92" s="229" t="s">
        <v>1418</v>
      </c>
      <c r="G92" s="229" t="s">
        <v>92</v>
      </c>
    </row>
    <row r="93" spans="1:9" ht="75">
      <c r="A93" s="267"/>
      <c r="B93" s="266"/>
      <c r="C93" s="247"/>
      <c r="D93" s="229" t="s">
        <v>632</v>
      </c>
      <c r="E93" s="9">
        <v>8</v>
      </c>
      <c r="F93" s="229" t="s">
        <v>1426</v>
      </c>
      <c r="G93" s="229" t="s">
        <v>626</v>
      </c>
      <c r="H93" s="30" t="s">
        <v>1426</v>
      </c>
      <c r="I93" s="115" t="s">
        <v>1398</v>
      </c>
    </row>
    <row r="94" spans="1:9" ht="75">
      <c r="A94" s="267"/>
      <c r="B94" s="266"/>
      <c r="C94" s="247"/>
      <c r="D94" s="229" t="s">
        <v>633</v>
      </c>
      <c r="E94" s="9">
        <v>2</v>
      </c>
      <c r="F94" s="229" t="s">
        <v>1426</v>
      </c>
      <c r="G94" s="229" t="s">
        <v>487</v>
      </c>
      <c r="H94" s="30" t="s">
        <v>1426</v>
      </c>
      <c r="I94" s="115" t="s">
        <v>1398</v>
      </c>
    </row>
    <row r="95" spans="1:9" ht="60">
      <c r="A95" s="267"/>
      <c r="B95" s="266"/>
      <c r="C95" s="247" t="s">
        <v>516</v>
      </c>
      <c r="D95" s="229" t="s">
        <v>1333</v>
      </c>
      <c r="E95" s="9">
        <v>7</v>
      </c>
      <c r="F95" s="229" t="s">
        <v>1205</v>
      </c>
      <c r="G95" s="229" t="s">
        <v>1507</v>
      </c>
      <c r="H95" s="122"/>
      <c r="I95" s="114"/>
    </row>
    <row r="96" spans="1:9" ht="90">
      <c r="A96" s="267"/>
      <c r="B96" s="266"/>
      <c r="C96" s="247"/>
      <c r="D96" s="34" t="s">
        <v>1491</v>
      </c>
      <c r="E96" s="84">
        <v>2</v>
      </c>
      <c r="F96" s="229" t="s">
        <v>1485</v>
      </c>
      <c r="G96" s="44" t="s">
        <v>958</v>
      </c>
    </row>
    <row r="97" spans="1:9">
      <c r="A97" s="267"/>
      <c r="B97" s="266"/>
      <c r="C97" s="8" t="s">
        <v>12</v>
      </c>
      <c r="D97" s="8"/>
      <c r="E97" s="87">
        <f>SUM(E89:E96)</f>
        <v>24</v>
      </c>
      <c r="F97" s="229"/>
      <c r="G97" s="229"/>
    </row>
    <row r="98" spans="1:9" ht="90">
      <c r="A98" s="267">
        <v>13</v>
      </c>
      <c r="B98" s="266" t="s">
        <v>302</v>
      </c>
      <c r="C98" s="247" t="s">
        <v>302</v>
      </c>
      <c r="D98" s="39" t="s">
        <v>902</v>
      </c>
      <c r="E98" s="84">
        <v>3</v>
      </c>
      <c r="F98" s="229" t="s">
        <v>1485</v>
      </c>
      <c r="G98" s="44" t="s">
        <v>958</v>
      </c>
    </row>
    <row r="99" spans="1:9" ht="30">
      <c r="A99" s="267"/>
      <c r="B99" s="266"/>
      <c r="C99" s="247"/>
      <c r="D99" s="37" t="s">
        <v>1167</v>
      </c>
      <c r="E99" s="84">
        <v>0.2</v>
      </c>
      <c r="F99" s="229" t="s">
        <v>485</v>
      </c>
      <c r="G99" s="229" t="s">
        <v>1503</v>
      </c>
    </row>
    <row r="100" spans="1:9" ht="47.25">
      <c r="A100" s="267"/>
      <c r="B100" s="266"/>
      <c r="C100" s="247"/>
      <c r="D100" s="74" t="s">
        <v>1297</v>
      </c>
      <c r="E100" s="36">
        <v>2</v>
      </c>
      <c r="F100" s="229" t="s">
        <v>1418</v>
      </c>
      <c r="G100" s="229" t="s">
        <v>92</v>
      </c>
    </row>
    <row r="101" spans="1:9">
      <c r="A101" s="267"/>
      <c r="B101" s="266"/>
      <c r="C101" s="8" t="s">
        <v>517</v>
      </c>
      <c r="D101" s="8"/>
      <c r="E101" s="229"/>
      <c r="F101" s="229"/>
      <c r="G101" s="229"/>
    </row>
    <row r="102" spans="1:9">
      <c r="A102" s="267"/>
      <c r="B102" s="266"/>
      <c r="C102" s="8" t="s">
        <v>12</v>
      </c>
      <c r="D102" s="8"/>
      <c r="E102" s="87">
        <f>SUM(E98:E101)</f>
        <v>5.2</v>
      </c>
      <c r="F102" s="229"/>
      <c r="G102" s="229"/>
    </row>
    <row r="103" spans="1:9" ht="60">
      <c r="A103" s="1"/>
      <c r="B103" s="1"/>
      <c r="C103" s="266" t="s">
        <v>660</v>
      </c>
      <c r="D103" s="229" t="s">
        <v>656</v>
      </c>
      <c r="E103" s="9">
        <v>0.8</v>
      </c>
      <c r="F103" s="229" t="s">
        <v>657</v>
      </c>
      <c r="G103" s="229" t="s">
        <v>657</v>
      </c>
      <c r="H103" s="30" t="s">
        <v>1426</v>
      </c>
      <c r="I103" s="115" t="s">
        <v>1398</v>
      </c>
    </row>
    <row r="104" spans="1:9" ht="60">
      <c r="A104" s="1"/>
      <c r="B104" s="1"/>
      <c r="C104" s="266"/>
      <c r="D104" s="229" t="s">
        <v>661</v>
      </c>
      <c r="E104" s="79">
        <v>0.5</v>
      </c>
      <c r="F104" s="229" t="s">
        <v>657</v>
      </c>
      <c r="G104" s="229" t="s">
        <v>657</v>
      </c>
      <c r="H104" s="30" t="s">
        <v>1426</v>
      </c>
      <c r="I104" s="115" t="s">
        <v>1398</v>
      </c>
    </row>
    <row r="105" spans="1:9" ht="60">
      <c r="A105" s="1"/>
      <c r="B105" s="1"/>
      <c r="C105" s="266"/>
      <c r="D105" s="229" t="s">
        <v>658</v>
      </c>
      <c r="E105" s="79">
        <v>0.75</v>
      </c>
      <c r="F105" s="229" t="s">
        <v>657</v>
      </c>
      <c r="G105" s="229" t="s">
        <v>657</v>
      </c>
      <c r="H105" s="30" t="s">
        <v>1426</v>
      </c>
      <c r="I105" s="115" t="s">
        <v>1398</v>
      </c>
    </row>
    <row r="106" spans="1:9" ht="60">
      <c r="A106" s="1"/>
      <c r="B106" s="1"/>
      <c r="C106" s="266"/>
      <c r="D106" s="229" t="s">
        <v>659</v>
      </c>
      <c r="E106" s="79">
        <v>0.1</v>
      </c>
      <c r="F106" s="229" t="s">
        <v>657</v>
      </c>
      <c r="G106" s="229" t="s">
        <v>657</v>
      </c>
      <c r="H106" s="30" t="s">
        <v>1426</v>
      </c>
      <c r="I106" s="115" t="s">
        <v>1398</v>
      </c>
    </row>
    <row r="107" spans="1:9" ht="75">
      <c r="A107" s="1"/>
      <c r="B107" s="1"/>
      <c r="C107" s="9" t="s">
        <v>660</v>
      </c>
      <c r="D107" s="229" t="s">
        <v>1452</v>
      </c>
      <c r="E107" s="36">
        <v>14</v>
      </c>
      <c r="F107" s="229" t="s">
        <v>1403</v>
      </c>
      <c r="G107" s="229" t="s">
        <v>787</v>
      </c>
      <c r="H107" s="4" t="s">
        <v>1403</v>
      </c>
      <c r="I107" s="7" t="s">
        <v>1398</v>
      </c>
    </row>
    <row r="108" spans="1:9" ht="75">
      <c r="A108" s="1"/>
      <c r="B108" s="1"/>
      <c r="C108" s="9" t="s">
        <v>660</v>
      </c>
      <c r="D108" s="229" t="s">
        <v>1453</v>
      </c>
      <c r="E108" s="36">
        <v>14.5</v>
      </c>
      <c r="F108" s="229" t="s">
        <v>1403</v>
      </c>
      <c r="G108" s="229" t="s">
        <v>787</v>
      </c>
      <c r="H108" s="4" t="s">
        <v>1403</v>
      </c>
      <c r="I108" s="7" t="s">
        <v>1398</v>
      </c>
    </row>
    <row r="109" spans="1:9" ht="31.5">
      <c r="A109" s="1"/>
      <c r="B109" s="1"/>
      <c r="C109" s="9"/>
      <c r="D109" s="229" t="s">
        <v>1541</v>
      </c>
      <c r="E109" s="36">
        <v>13.8</v>
      </c>
      <c r="F109" s="20" t="s">
        <v>1533</v>
      </c>
      <c r="G109" s="232" t="s">
        <v>1521</v>
      </c>
      <c r="H109" s="4"/>
      <c r="I109" s="7"/>
    </row>
    <row r="110" spans="1:9" ht="45">
      <c r="A110" s="1"/>
      <c r="B110" s="1"/>
      <c r="C110" s="9"/>
      <c r="D110" s="158" t="s">
        <v>1543</v>
      </c>
      <c r="E110" s="156">
        <v>4.5</v>
      </c>
      <c r="F110" s="20" t="s">
        <v>1533</v>
      </c>
      <c r="G110" s="232" t="s">
        <v>1521</v>
      </c>
      <c r="H110" s="4"/>
      <c r="I110" s="7"/>
    </row>
    <row r="111" spans="1:9" ht="47.25">
      <c r="A111" s="1"/>
      <c r="B111" s="1"/>
      <c r="C111" s="9"/>
      <c r="D111" s="78" t="s">
        <v>1550</v>
      </c>
      <c r="E111" s="181">
        <v>20</v>
      </c>
      <c r="F111" s="78" t="s">
        <v>1548</v>
      </c>
      <c r="G111" s="78" t="s">
        <v>1549</v>
      </c>
      <c r="H111" s="4"/>
      <c r="I111" s="7"/>
    </row>
    <row r="112" spans="1:9" ht="47.25">
      <c r="A112" s="1"/>
      <c r="B112" s="1"/>
      <c r="C112" s="9"/>
      <c r="D112" s="78" t="s">
        <v>1555</v>
      </c>
      <c r="E112" s="181">
        <v>0.77</v>
      </c>
      <c r="F112" s="78" t="s">
        <v>1558</v>
      </c>
      <c r="G112" s="78" t="s">
        <v>1556</v>
      </c>
      <c r="H112" s="4"/>
      <c r="I112" s="7"/>
    </row>
    <row r="113" spans="1:9" ht="47.25">
      <c r="A113" s="1"/>
      <c r="B113" s="1"/>
      <c r="C113" s="9"/>
      <c r="D113" s="78" t="s">
        <v>1557</v>
      </c>
      <c r="E113" s="181">
        <v>0.28000000000000003</v>
      </c>
      <c r="F113" s="78" t="s">
        <v>1558</v>
      </c>
      <c r="G113" s="78" t="s">
        <v>1556</v>
      </c>
      <c r="H113" s="4"/>
      <c r="I113" s="7"/>
    </row>
    <row r="114" spans="1:9" ht="47.25">
      <c r="A114" s="1"/>
      <c r="B114" s="1"/>
      <c r="C114" s="9"/>
      <c r="D114" s="78" t="s">
        <v>1559</v>
      </c>
      <c r="E114" s="181">
        <v>0.71</v>
      </c>
      <c r="F114" s="78" t="s">
        <v>1558</v>
      </c>
      <c r="G114" s="78" t="s">
        <v>1556</v>
      </c>
      <c r="H114" s="4"/>
      <c r="I114" s="7"/>
    </row>
    <row r="115" spans="1:9" ht="47.25">
      <c r="A115" s="1"/>
      <c r="B115" s="1"/>
      <c r="C115" s="9"/>
      <c r="D115" s="78" t="s">
        <v>1567</v>
      </c>
      <c r="E115" s="181">
        <v>1.24</v>
      </c>
      <c r="F115" s="20" t="s">
        <v>1565</v>
      </c>
      <c r="G115" s="78" t="s">
        <v>1556</v>
      </c>
      <c r="H115" s="4"/>
      <c r="I115" s="7"/>
    </row>
    <row r="116" spans="1:9" ht="47.25">
      <c r="A116" s="1"/>
      <c r="B116" s="1"/>
      <c r="C116" s="9"/>
      <c r="D116" s="78" t="s">
        <v>1570</v>
      </c>
      <c r="E116" s="181">
        <v>1</v>
      </c>
      <c r="F116" s="78" t="s">
        <v>1571</v>
      </c>
      <c r="G116" s="78" t="s">
        <v>1556</v>
      </c>
      <c r="H116" s="4"/>
      <c r="I116" s="7"/>
    </row>
    <row r="117" spans="1:9" ht="47.25">
      <c r="A117" s="1"/>
      <c r="B117" s="1"/>
      <c r="C117" s="9"/>
      <c r="D117" s="78" t="s">
        <v>1574</v>
      </c>
      <c r="E117" s="181">
        <v>2</v>
      </c>
      <c r="F117" s="78" t="s">
        <v>1571</v>
      </c>
      <c r="G117" s="78" t="s">
        <v>1556</v>
      </c>
      <c r="H117" s="4"/>
      <c r="I117" s="7"/>
    </row>
    <row r="118" spans="1:9" ht="47.25">
      <c r="A118" s="1"/>
      <c r="B118" s="1"/>
      <c r="C118" s="9"/>
      <c r="D118" s="189" t="s">
        <v>1584</v>
      </c>
      <c r="E118" s="181">
        <v>0.24</v>
      </c>
      <c r="F118" s="158" t="s">
        <v>1581</v>
      </c>
      <c r="G118" s="78" t="s">
        <v>1556</v>
      </c>
      <c r="H118" s="4"/>
      <c r="I118" s="7"/>
    </row>
    <row r="119" spans="1:9" ht="71.25">
      <c r="A119" s="1"/>
      <c r="B119" s="1"/>
      <c r="C119" s="9"/>
      <c r="D119" s="189" t="s">
        <v>1595</v>
      </c>
      <c r="E119" s="181">
        <v>0.5</v>
      </c>
      <c r="F119" s="197" t="s">
        <v>1594</v>
      </c>
      <c r="G119" s="78" t="s">
        <v>1556</v>
      </c>
      <c r="H119" s="4"/>
      <c r="I119" s="7"/>
    </row>
    <row r="120" spans="1:9" ht="71.25">
      <c r="A120" s="1"/>
      <c r="B120" s="1"/>
      <c r="C120" s="9"/>
      <c r="D120" s="189" t="s">
        <v>1598</v>
      </c>
      <c r="E120" s="181">
        <v>1</v>
      </c>
      <c r="F120" s="197" t="s">
        <v>1594</v>
      </c>
      <c r="G120" s="78" t="s">
        <v>1556</v>
      </c>
      <c r="H120" s="4"/>
      <c r="I120" s="7"/>
    </row>
    <row r="121" spans="1:9" ht="71.25">
      <c r="A121" s="1"/>
      <c r="B121" s="1"/>
      <c r="C121" s="9"/>
      <c r="D121" s="189" t="s">
        <v>1601</v>
      </c>
      <c r="E121" s="181">
        <v>2</v>
      </c>
      <c r="F121" s="197" t="s">
        <v>1594</v>
      </c>
      <c r="G121" s="78" t="s">
        <v>1556</v>
      </c>
      <c r="H121" s="4"/>
      <c r="I121" s="7"/>
    </row>
    <row r="122" spans="1:9" ht="78.75">
      <c r="A122" s="1"/>
      <c r="B122" s="1"/>
      <c r="C122" s="9"/>
      <c r="D122" s="196" t="s">
        <v>1604</v>
      </c>
      <c r="E122" s="9">
        <v>0.1</v>
      </c>
      <c r="F122" s="196" t="s">
        <v>1605</v>
      </c>
      <c r="G122" s="78" t="s">
        <v>1556</v>
      </c>
      <c r="H122" s="4"/>
      <c r="I122" s="7"/>
    </row>
    <row r="123" spans="1:9" ht="78.75">
      <c r="A123" s="1"/>
      <c r="B123" s="1"/>
      <c r="C123" s="9"/>
      <c r="D123" s="196" t="s">
        <v>1606</v>
      </c>
      <c r="E123" s="9">
        <v>7.0000000000000007E-2</v>
      </c>
      <c r="F123" s="196" t="s">
        <v>1605</v>
      </c>
      <c r="G123" s="78" t="s">
        <v>1556</v>
      </c>
      <c r="H123" s="4"/>
      <c r="I123" s="7"/>
    </row>
    <row r="124" spans="1:9" ht="45">
      <c r="A124" s="1"/>
      <c r="B124" s="1"/>
      <c r="C124" s="9" t="s">
        <v>509</v>
      </c>
      <c r="D124" s="20" t="s">
        <v>1618</v>
      </c>
      <c r="E124" s="9">
        <v>0.3</v>
      </c>
      <c r="F124" s="189" t="s">
        <v>1616</v>
      </c>
      <c r="G124" s="42" t="s">
        <v>1556</v>
      </c>
      <c r="H124" s="4"/>
      <c r="I124" s="7"/>
    </row>
    <row r="125" spans="1:9" ht="45">
      <c r="A125" s="1"/>
      <c r="B125" s="1"/>
      <c r="C125" s="9"/>
      <c r="D125" s="20" t="s">
        <v>1619</v>
      </c>
      <c r="E125" s="9">
        <v>10</v>
      </c>
      <c r="F125" s="189" t="s">
        <v>1616</v>
      </c>
      <c r="G125" s="42" t="s">
        <v>1556</v>
      </c>
      <c r="H125" s="4"/>
      <c r="I125" s="7"/>
    </row>
    <row r="126" spans="1:9" ht="45">
      <c r="A126" s="1"/>
      <c r="B126" s="1"/>
      <c r="C126" s="9"/>
      <c r="D126" s="189" t="s">
        <v>1626</v>
      </c>
      <c r="E126" s="36">
        <v>0.15</v>
      </c>
      <c r="F126" s="20" t="s">
        <v>1624</v>
      </c>
      <c r="G126" s="42" t="s">
        <v>1556</v>
      </c>
      <c r="H126" s="4"/>
      <c r="I126" s="7"/>
    </row>
    <row r="127" spans="1:9" ht="45">
      <c r="A127" s="1"/>
      <c r="B127" s="1"/>
      <c r="C127" s="9"/>
      <c r="D127" s="20" t="s">
        <v>1639</v>
      </c>
      <c r="E127" s="9">
        <v>15</v>
      </c>
      <c r="F127" s="196" t="s">
        <v>1630</v>
      </c>
      <c r="G127" s="42" t="s">
        <v>1556</v>
      </c>
      <c r="H127" s="4"/>
      <c r="I127" s="7"/>
    </row>
    <row r="128" spans="1:9" ht="47.25">
      <c r="A128" s="1"/>
      <c r="B128" s="1"/>
      <c r="C128" s="9"/>
      <c r="D128" s="196" t="s">
        <v>1662</v>
      </c>
      <c r="E128" s="9">
        <v>1</v>
      </c>
      <c r="F128" s="29" t="s">
        <v>1654</v>
      </c>
      <c r="G128" s="42" t="s">
        <v>1556</v>
      </c>
      <c r="H128" s="4"/>
      <c r="I128" s="7"/>
    </row>
    <row r="129" spans="1:9" ht="45">
      <c r="A129" s="1"/>
      <c r="B129" s="1"/>
      <c r="C129" s="9"/>
      <c r="D129" s="196" t="s">
        <v>1686</v>
      </c>
      <c r="E129" s="9">
        <v>7.5</v>
      </c>
      <c r="F129" s="29" t="s">
        <v>1666</v>
      </c>
      <c r="G129" s="42" t="s">
        <v>1556</v>
      </c>
      <c r="H129" s="4"/>
      <c r="I129" s="7"/>
    </row>
    <row r="130" spans="1:9" ht="45">
      <c r="A130" s="1"/>
      <c r="B130" s="1"/>
      <c r="C130" s="9"/>
      <c r="D130" s="196" t="s">
        <v>1687</v>
      </c>
      <c r="E130" s="9">
        <v>3</v>
      </c>
      <c r="F130" s="29" t="s">
        <v>1666</v>
      </c>
      <c r="G130" s="42" t="s">
        <v>1556</v>
      </c>
      <c r="H130" s="4"/>
      <c r="I130" s="7"/>
    </row>
    <row r="131" spans="1:9" ht="45">
      <c r="A131" s="1"/>
      <c r="B131" s="1"/>
      <c r="C131" s="9"/>
      <c r="D131" s="196" t="s">
        <v>1688</v>
      </c>
      <c r="E131" s="9">
        <v>0.75</v>
      </c>
      <c r="F131" s="29" t="s">
        <v>1666</v>
      </c>
      <c r="G131" s="42" t="s">
        <v>1556</v>
      </c>
      <c r="H131" s="4"/>
      <c r="I131" s="7"/>
    </row>
    <row r="132" spans="1:9" ht="45">
      <c r="A132" s="1"/>
      <c r="B132" s="1"/>
      <c r="C132" s="9"/>
      <c r="D132" s="196" t="s">
        <v>1689</v>
      </c>
      <c r="E132" s="9">
        <v>10</v>
      </c>
      <c r="F132" s="29" t="s">
        <v>1666</v>
      </c>
      <c r="G132" s="42" t="s">
        <v>1556</v>
      </c>
      <c r="H132" s="4"/>
      <c r="I132" s="7"/>
    </row>
    <row r="133" spans="1:9" ht="45">
      <c r="A133" s="1"/>
      <c r="B133" s="1"/>
      <c r="C133" s="9"/>
      <c r="D133" s="196" t="s">
        <v>1690</v>
      </c>
      <c r="E133" s="9">
        <v>5</v>
      </c>
      <c r="F133" s="29" t="s">
        <v>1666</v>
      </c>
      <c r="G133" s="42" t="s">
        <v>1556</v>
      </c>
      <c r="H133" s="4"/>
      <c r="I133" s="7"/>
    </row>
    <row r="134" spans="1:9" ht="45">
      <c r="A134" s="1"/>
      <c r="B134" s="1"/>
      <c r="C134" s="9"/>
      <c r="D134" s="196" t="s">
        <v>1691</v>
      </c>
      <c r="E134" s="9">
        <v>2</v>
      </c>
      <c r="F134" s="29" t="s">
        <v>1666</v>
      </c>
      <c r="G134" s="42" t="s">
        <v>1556</v>
      </c>
      <c r="H134" s="4"/>
      <c r="I134" s="7"/>
    </row>
    <row r="135" spans="1:9" ht="45">
      <c r="A135" s="1"/>
      <c r="B135" s="1"/>
      <c r="C135" s="9"/>
      <c r="D135" s="196" t="s">
        <v>1692</v>
      </c>
      <c r="E135" s="9">
        <v>0.6</v>
      </c>
      <c r="F135" s="29" t="s">
        <v>1666</v>
      </c>
      <c r="G135" s="42" t="s">
        <v>1556</v>
      </c>
      <c r="H135" s="4"/>
      <c r="I135" s="7"/>
    </row>
    <row r="136" spans="1:9" ht="47.25">
      <c r="A136" s="1"/>
      <c r="B136" s="1"/>
      <c r="C136" s="9"/>
      <c r="D136" s="196" t="s">
        <v>1699</v>
      </c>
      <c r="E136" s="9">
        <v>1</v>
      </c>
      <c r="F136" s="229" t="s">
        <v>1738</v>
      </c>
      <c r="G136" s="42" t="s">
        <v>1556</v>
      </c>
      <c r="H136" s="4"/>
      <c r="I136" s="7"/>
    </row>
    <row r="137" spans="1:9" ht="45">
      <c r="A137" s="1"/>
      <c r="B137" s="1"/>
      <c r="C137" s="9"/>
      <c r="D137" s="20" t="s">
        <v>1687</v>
      </c>
      <c r="E137" s="9">
        <v>3</v>
      </c>
      <c r="F137" s="20" t="s">
        <v>1855</v>
      </c>
      <c r="G137" s="42" t="s">
        <v>1556</v>
      </c>
      <c r="H137" s="4"/>
      <c r="I137" s="7"/>
    </row>
    <row r="138" spans="1:9" ht="45">
      <c r="A138" s="1"/>
      <c r="B138" s="1"/>
      <c r="C138" s="9"/>
      <c r="D138" s="20" t="s">
        <v>1858</v>
      </c>
      <c r="E138" s="9">
        <v>2.5</v>
      </c>
      <c r="F138" s="20" t="s">
        <v>1855</v>
      </c>
      <c r="G138" s="42" t="s">
        <v>1556</v>
      </c>
      <c r="H138" s="4"/>
      <c r="I138" s="7"/>
    </row>
    <row r="139" spans="1:9" ht="45">
      <c r="A139" s="1"/>
      <c r="B139" s="1"/>
      <c r="C139" s="9"/>
      <c r="D139" s="202" t="s">
        <v>1704</v>
      </c>
      <c r="E139" s="9">
        <v>3.34</v>
      </c>
      <c r="F139" s="229" t="s">
        <v>1703</v>
      </c>
      <c r="G139" s="42" t="s">
        <v>1556</v>
      </c>
      <c r="H139" s="4"/>
      <c r="I139" s="7"/>
    </row>
    <row r="140" spans="1:9" ht="45">
      <c r="A140" s="1"/>
      <c r="B140" s="1"/>
      <c r="C140" s="9"/>
      <c r="D140" s="202" t="s">
        <v>1705</v>
      </c>
      <c r="E140" s="9">
        <v>3.43</v>
      </c>
      <c r="F140" s="229" t="s">
        <v>1703</v>
      </c>
      <c r="G140" s="42" t="s">
        <v>1556</v>
      </c>
      <c r="H140" s="4"/>
      <c r="I140" s="7"/>
    </row>
    <row r="141" spans="1:9" ht="45">
      <c r="A141" s="1"/>
      <c r="B141" s="1"/>
      <c r="C141" s="9"/>
      <c r="D141" s="202" t="s">
        <v>1706</v>
      </c>
      <c r="E141" s="9">
        <v>0.86</v>
      </c>
      <c r="F141" s="229" t="s">
        <v>1703</v>
      </c>
      <c r="G141" s="42" t="s">
        <v>1556</v>
      </c>
      <c r="H141" s="4"/>
      <c r="I141" s="7"/>
    </row>
    <row r="142" spans="1:9" ht="45">
      <c r="A142" s="1"/>
      <c r="B142" s="1"/>
      <c r="C142" s="9"/>
      <c r="D142" s="202" t="s">
        <v>1871</v>
      </c>
      <c r="E142" s="9">
        <v>0.87</v>
      </c>
      <c r="F142" s="229" t="s">
        <v>1703</v>
      </c>
      <c r="G142" s="42" t="s">
        <v>1556</v>
      </c>
      <c r="H142" s="4"/>
      <c r="I142" s="7"/>
    </row>
    <row r="143" spans="1:9" ht="75">
      <c r="A143" s="1"/>
      <c r="B143" s="1"/>
      <c r="C143" s="9"/>
      <c r="D143" s="202" t="s">
        <v>1726</v>
      </c>
      <c r="E143" s="9">
        <v>2.89</v>
      </c>
      <c r="F143" s="229" t="s">
        <v>1703</v>
      </c>
      <c r="G143" s="42" t="s">
        <v>1556</v>
      </c>
      <c r="H143" s="4"/>
      <c r="I143" s="7"/>
    </row>
    <row r="144" spans="1:9" ht="45">
      <c r="A144" s="1"/>
      <c r="B144" s="1"/>
      <c r="C144" s="9"/>
      <c r="D144" s="202" t="s">
        <v>1730</v>
      </c>
      <c r="E144" s="9">
        <v>3.1</v>
      </c>
      <c r="F144" s="229" t="s">
        <v>1703</v>
      </c>
      <c r="G144" s="42" t="s">
        <v>1556</v>
      </c>
      <c r="H144" s="4"/>
      <c r="I144" s="7"/>
    </row>
    <row r="145" spans="1:9" ht="45">
      <c r="A145" s="1"/>
      <c r="B145" s="1"/>
      <c r="C145" s="9"/>
      <c r="D145" s="202" t="s">
        <v>1741</v>
      </c>
      <c r="E145" s="9">
        <v>2.04</v>
      </c>
      <c r="F145" s="229" t="s">
        <v>1703</v>
      </c>
      <c r="G145" s="42" t="s">
        <v>1556</v>
      </c>
      <c r="H145" s="4"/>
      <c r="I145" s="7"/>
    </row>
    <row r="146" spans="1:9" ht="45">
      <c r="A146" s="1"/>
      <c r="B146" s="1"/>
      <c r="C146" s="9"/>
      <c r="D146" s="202" t="s">
        <v>1751</v>
      </c>
      <c r="E146" s="9">
        <v>3</v>
      </c>
      <c r="F146" s="229" t="s">
        <v>1703</v>
      </c>
      <c r="G146" s="42" t="s">
        <v>1556</v>
      </c>
      <c r="H146" s="4"/>
      <c r="I146" s="7"/>
    </row>
    <row r="147" spans="1:9" ht="45">
      <c r="A147" s="1"/>
      <c r="B147" s="1"/>
      <c r="C147" s="9"/>
      <c r="D147" s="202" t="s">
        <v>1754</v>
      </c>
      <c r="E147" s="9">
        <v>2</v>
      </c>
      <c r="F147" s="229" t="s">
        <v>1703</v>
      </c>
      <c r="G147" s="42" t="s">
        <v>1556</v>
      </c>
      <c r="H147" s="4"/>
      <c r="I147" s="7"/>
    </row>
    <row r="148" spans="1:9" ht="45">
      <c r="A148" s="1"/>
      <c r="B148" s="1"/>
      <c r="C148" s="9"/>
      <c r="D148" s="202" t="s">
        <v>1762</v>
      </c>
      <c r="E148" s="9">
        <v>2</v>
      </c>
      <c r="F148" s="229" t="s">
        <v>1703</v>
      </c>
      <c r="G148" s="42" t="s">
        <v>1556</v>
      </c>
      <c r="H148" s="4"/>
      <c r="I148" s="7"/>
    </row>
    <row r="149" spans="1:9" ht="45">
      <c r="A149" s="1"/>
      <c r="B149" s="1"/>
      <c r="C149" s="9"/>
      <c r="D149" s="202" t="s">
        <v>1868</v>
      </c>
      <c r="E149" s="9">
        <v>2</v>
      </c>
      <c r="F149" s="229" t="s">
        <v>1703</v>
      </c>
      <c r="G149" s="42" t="s">
        <v>1556</v>
      </c>
      <c r="H149" s="4"/>
      <c r="I149" s="7"/>
    </row>
    <row r="150" spans="1:9" ht="45">
      <c r="A150" s="1"/>
      <c r="B150" s="1"/>
      <c r="C150" s="9"/>
      <c r="D150" s="202" t="s">
        <v>1769</v>
      </c>
      <c r="E150" s="9">
        <v>2</v>
      </c>
      <c r="F150" s="229" t="s">
        <v>1703</v>
      </c>
      <c r="G150" s="42" t="s">
        <v>1556</v>
      </c>
      <c r="H150" s="4"/>
      <c r="I150" s="7"/>
    </row>
    <row r="151" spans="1:9" ht="45">
      <c r="A151" s="1"/>
      <c r="B151" s="1"/>
      <c r="C151" s="9"/>
      <c r="D151" s="202" t="s">
        <v>1773</v>
      </c>
      <c r="E151" s="9">
        <v>5</v>
      </c>
      <c r="F151" s="229" t="s">
        <v>1703</v>
      </c>
      <c r="G151" s="42" t="s">
        <v>1556</v>
      </c>
      <c r="H151" s="4"/>
      <c r="I151" s="7"/>
    </row>
    <row r="152" spans="1:9" ht="45">
      <c r="A152" s="1"/>
      <c r="B152" s="1"/>
      <c r="C152" s="9"/>
      <c r="D152" s="202" t="s">
        <v>1785</v>
      </c>
      <c r="E152" s="9">
        <v>4</v>
      </c>
      <c r="F152" s="229" t="s">
        <v>1703</v>
      </c>
      <c r="G152" s="42" t="s">
        <v>1556</v>
      </c>
      <c r="H152" s="4"/>
      <c r="I152" s="7"/>
    </row>
    <row r="153" spans="1:9" ht="45">
      <c r="A153" s="1"/>
      <c r="B153" s="1"/>
      <c r="C153" s="9"/>
      <c r="D153" s="202" t="s">
        <v>1793</v>
      </c>
      <c r="E153" s="9">
        <v>3</v>
      </c>
      <c r="F153" s="229" t="s">
        <v>1703</v>
      </c>
      <c r="G153" s="42" t="s">
        <v>1556</v>
      </c>
      <c r="H153" s="4"/>
      <c r="I153" s="7"/>
    </row>
    <row r="154" spans="1:9" ht="45">
      <c r="A154" s="1"/>
      <c r="B154" s="1"/>
      <c r="C154" s="9"/>
      <c r="D154" s="202" t="s">
        <v>1797</v>
      </c>
      <c r="E154" s="9">
        <v>5</v>
      </c>
      <c r="F154" s="229" t="s">
        <v>1703</v>
      </c>
      <c r="G154" s="42" t="s">
        <v>1556</v>
      </c>
      <c r="H154" s="4"/>
      <c r="I154" s="7"/>
    </row>
    <row r="155" spans="1:9" ht="45">
      <c r="A155" s="1"/>
      <c r="B155" s="1"/>
      <c r="C155" s="9"/>
      <c r="D155" s="202" t="s">
        <v>1801</v>
      </c>
      <c r="E155" s="9">
        <v>2</v>
      </c>
      <c r="F155" s="229" t="s">
        <v>1703</v>
      </c>
      <c r="G155" s="42" t="s">
        <v>1556</v>
      </c>
      <c r="H155" s="4"/>
      <c r="I155" s="7"/>
    </row>
    <row r="156" spans="1:9" ht="45">
      <c r="A156" s="1"/>
      <c r="B156" s="1"/>
      <c r="C156" s="9"/>
      <c r="D156" s="202" t="s">
        <v>1805</v>
      </c>
      <c r="E156" s="9">
        <v>4</v>
      </c>
      <c r="F156" s="229" t="s">
        <v>1703</v>
      </c>
      <c r="G156" s="42" t="s">
        <v>1556</v>
      </c>
      <c r="H156" s="4"/>
      <c r="I156" s="7"/>
    </row>
    <row r="157" spans="1:9" ht="45">
      <c r="A157" s="1"/>
      <c r="B157" s="1"/>
      <c r="C157" s="9"/>
      <c r="D157" s="202" t="s">
        <v>1809</v>
      </c>
      <c r="E157" s="9">
        <v>4</v>
      </c>
      <c r="F157" s="229" t="s">
        <v>1703</v>
      </c>
      <c r="G157" s="42" t="s">
        <v>1556</v>
      </c>
      <c r="H157" s="4"/>
      <c r="I157" s="7"/>
    </row>
    <row r="158" spans="1:9" ht="45">
      <c r="A158" s="1"/>
      <c r="B158" s="1"/>
      <c r="C158" s="9"/>
      <c r="D158" s="202" t="s">
        <v>1601</v>
      </c>
      <c r="E158" s="9">
        <v>3</v>
      </c>
      <c r="F158" s="229" t="s">
        <v>1703</v>
      </c>
      <c r="G158" s="42" t="s">
        <v>1556</v>
      </c>
      <c r="H158" s="4"/>
      <c r="I158" s="7"/>
    </row>
    <row r="159" spans="1:9" ht="45">
      <c r="A159" s="1"/>
      <c r="B159" s="1"/>
      <c r="C159" s="9"/>
      <c r="D159" s="202" t="s">
        <v>1822</v>
      </c>
      <c r="E159" s="9">
        <v>3.5</v>
      </c>
      <c r="F159" s="229" t="s">
        <v>1703</v>
      </c>
      <c r="G159" s="42" t="s">
        <v>1556</v>
      </c>
      <c r="H159" s="4"/>
      <c r="I159" s="7"/>
    </row>
    <row r="160" spans="1:9" ht="45">
      <c r="A160" s="1"/>
      <c r="B160" s="1"/>
      <c r="C160" s="9"/>
      <c r="D160" s="202" t="s">
        <v>1825</v>
      </c>
      <c r="E160" s="9">
        <v>3</v>
      </c>
      <c r="F160" s="229" t="s">
        <v>1703</v>
      </c>
      <c r="G160" s="42" t="s">
        <v>1556</v>
      </c>
      <c r="H160" s="4"/>
      <c r="I160" s="7"/>
    </row>
    <row r="161" spans="1:9" ht="45">
      <c r="A161" s="1"/>
      <c r="B161" s="1"/>
      <c r="C161" s="9"/>
      <c r="D161" s="202" t="s">
        <v>1828</v>
      </c>
      <c r="E161" s="9">
        <v>1</v>
      </c>
      <c r="F161" s="229" t="s">
        <v>1703</v>
      </c>
      <c r="G161" s="42" t="s">
        <v>1556</v>
      </c>
      <c r="H161" s="4"/>
      <c r="I161" s="7"/>
    </row>
    <row r="162" spans="1:9" ht="45">
      <c r="A162" s="1"/>
      <c r="B162" s="1"/>
      <c r="C162" s="9"/>
      <c r="D162" s="202" t="s">
        <v>1832</v>
      </c>
      <c r="E162" s="9">
        <v>7</v>
      </c>
      <c r="F162" s="229" t="s">
        <v>1703</v>
      </c>
      <c r="G162" s="42" t="s">
        <v>1556</v>
      </c>
      <c r="H162" s="4"/>
      <c r="I162" s="7"/>
    </row>
    <row r="163" spans="1:9" ht="45">
      <c r="A163" s="1"/>
      <c r="B163" s="1"/>
      <c r="C163" s="9"/>
      <c r="D163" s="202" t="s">
        <v>1834</v>
      </c>
      <c r="E163" s="9">
        <v>0.5</v>
      </c>
      <c r="F163" s="229" t="s">
        <v>1703</v>
      </c>
      <c r="G163" s="42" t="s">
        <v>1556</v>
      </c>
      <c r="H163" s="4"/>
      <c r="I163" s="7"/>
    </row>
    <row r="164" spans="1:9" ht="45">
      <c r="A164" s="1"/>
      <c r="B164" s="1"/>
      <c r="C164" s="9"/>
      <c r="D164" s="202" t="s">
        <v>1845</v>
      </c>
      <c r="E164" s="9">
        <v>2.04</v>
      </c>
      <c r="F164" s="229" t="s">
        <v>1703</v>
      </c>
      <c r="G164" s="42" t="s">
        <v>1556</v>
      </c>
      <c r="H164" s="4"/>
      <c r="I164" s="7"/>
    </row>
    <row r="165" spans="1:9" ht="45">
      <c r="A165" s="1"/>
      <c r="B165" s="1"/>
      <c r="C165" s="9"/>
      <c r="D165" s="202" t="s">
        <v>1846</v>
      </c>
      <c r="E165" s="9">
        <v>3.8</v>
      </c>
      <c r="F165" s="229" t="s">
        <v>1703</v>
      </c>
      <c r="G165" s="42" t="s">
        <v>1556</v>
      </c>
      <c r="H165" s="4"/>
      <c r="I165" s="7"/>
    </row>
    <row r="166" spans="1:9" ht="45">
      <c r="A166" s="1"/>
      <c r="B166" s="1"/>
      <c r="C166" s="9"/>
      <c r="D166" s="202" t="s">
        <v>1847</v>
      </c>
      <c r="E166" s="9">
        <v>3.1</v>
      </c>
      <c r="F166" s="229" t="s">
        <v>1703</v>
      </c>
      <c r="G166" s="42" t="s">
        <v>1556</v>
      </c>
      <c r="H166" s="4"/>
      <c r="I166" s="7"/>
    </row>
    <row r="167" spans="1:9" ht="45">
      <c r="A167" s="1"/>
      <c r="B167" s="1"/>
      <c r="C167" s="9"/>
      <c r="D167" s="202" t="s">
        <v>1849</v>
      </c>
      <c r="E167" s="9">
        <v>2.2799999999999998</v>
      </c>
      <c r="F167" s="229" t="s">
        <v>1703</v>
      </c>
      <c r="G167" s="42" t="s">
        <v>1556</v>
      </c>
      <c r="H167" s="4"/>
      <c r="I167" s="7"/>
    </row>
    <row r="168" spans="1:9" ht="45">
      <c r="A168" s="1"/>
      <c r="B168" s="1"/>
      <c r="C168" s="9"/>
      <c r="D168" s="229" t="s">
        <v>1882</v>
      </c>
      <c r="E168" s="9">
        <v>4</v>
      </c>
      <c r="F168" s="229" t="s">
        <v>1875</v>
      </c>
      <c r="G168" s="42" t="s">
        <v>1556</v>
      </c>
      <c r="H168" s="4"/>
      <c r="I168" s="7"/>
    </row>
    <row r="169" spans="1:9" ht="45">
      <c r="A169" s="1"/>
      <c r="B169" s="1"/>
      <c r="C169" s="9"/>
      <c r="D169" s="229" t="s">
        <v>1879</v>
      </c>
      <c r="E169" s="9">
        <v>4</v>
      </c>
      <c r="F169" s="229" t="s">
        <v>1875</v>
      </c>
      <c r="G169" s="42" t="s">
        <v>1556</v>
      </c>
      <c r="H169" s="4"/>
      <c r="I169" s="7"/>
    </row>
    <row r="170" spans="1:9" ht="45">
      <c r="A170" s="1"/>
      <c r="B170" s="1"/>
      <c r="C170" s="9"/>
      <c r="D170" s="229" t="s">
        <v>1886</v>
      </c>
      <c r="E170" s="9">
        <v>10</v>
      </c>
      <c r="F170" s="229" t="s">
        <v>1883</v>
      </c>
      <c r="G170" s="42" t="s">
        <v>1556</v>
      </c>
      <c r="H170" s="4"/>
      <c r="I170" s="7"/>
    </row>
    <row r="171" spans="1:9" ht="45" customHeight="1">
      <c r="A171" s="1"/>
      <c r="B171" s="1"/>
      <c r="C171" s="271" t="s">
        <v>1926</v>
      </c>
      <c r="D171" s="230" t="s">
        <v>1903</v>
      </c>
      <c r="E171" s="9">
        <v>55.3</v>
      </c>
      <c r="F171" s="272" t="s">
        <v>1919</v>
      </c>
      <c r="G171" s="271" t="s">
        <v>1504</v>
      </c>
      <c r="H171" s="4"/>
      <c r="I171" s="7"/>
    </row>
    <row r="172" spans="1:9">
      <c r="A172" s="1"/>
      <c r="B172" s="1"/>
      <c r="C172" s="271"/>
      <c r="D172" s="230" t="s">
        <v>1904</v>
      </c>
      <c r="E172" s="9">
        <v>15</v>
      </c>
      <c r="F172" s="272"/>
      <c r="G172" s="271"/>
      <c r="H172" s="4"/>
      <c r="I172" s="7"/>
    </row>
    <row r="173" spans="1:9" ht="30">
      <c r="A173" s="1"/>
      <c r="B173" s="1"/>
      <c r="C173" s="271"/>
      <c r="D173" s="230" t="s">
        <v>1906</v>
      </c>
      <c r="E173" s="9">
        <v>15</v>
      </c>
      <c r="F173" s="272"/>
      <c r="G173" s="271"/>
      <c r="H173" s="4"/>
      <c r="I173" s="7"/>
    </row>
    <row r="174" spans="1:9" ht="30">
      <c r="A174" s="1"/>
      <c r="B174" s="1"/>
      <c r="C174" s="271"/>
      <c r="D174" s="230" t="s">
        <v>1907</v>
      </c>
      <c r="E174" s="9">
        <v>11.3</v>
      </c>
      <c r="F174" s="272"/>
      <c r="G174" s="271"/>
      <c r="H174" s="4"/>
      <c r="I174" s="7"/>
    </row>
    <row r="175" spans="1:9" ht="60">
      <c r="A175" s="1"/>
      <c r="B175" s="1"/>
      <c r="C175" s="271"/>
      <c r="D175" s="76" t="s">
        <v>1905</v>
      </c>
      <c r="E175" s="9">
        <v>2200</v>
      </c>
      <c r="F175" s="75" t="s">
        <v>1924</v>
      </c>
      <c r="G175" s="271"/>
      <c r="H175" s="4"/>
      <c r="I175" s="7"/>
    </row>
    <row r="176" spans="1:9" ht="60">
      <c r="A176" s="1"/>
      <c r="B176" s="1"/>
      <c r="C176" s="230"/>
      <c r="D176" s="230" t="s">
        <v>1918</v>
      </c>
      <c r="E176" s="9">
        <v>986</v>
      </c>
      <c r="F176" s="75" t="s">
        <v>1924</v>
      </c>
      <c r="G176" s="230" t="s">
        <v>1504</v>
      </c>
      <c r="H176" s="4"/>
      <c r="I176" s="7"/>
    </row>
    <row r="177" spans="1:7">
      <c r="A177" s="1"/>
      <c r="B177" s="1"/>
      <c r="C177" s="1" t="s">
        <v>12</v>
      </c>
      <c r="D177" s="229"/>
      <c r="E177" s="89">
        <f>SUM(E103:E176)</f>
        <v>3525.01</v>
      </c>
      <c r="F177" s="229"/>
      <c r="G177" s="1"/>
    </row>
    <row r="178" spans="1:7">
      <c r="A178" s="1"/>
      <c r="B178" s="1"/>
      <c r="C178" s="1" t="s">
        <v>150</v>
      </c>
      <c r="D178" s="229"/>
      <c r="E178" s="92">
        <f>E177+E102+E97+E88+E83+E79+E68+E60+E50+E34+E27+E18+E12+E56</f>
        <v>3832.11</v>
      </c>
      <c r="F178" s="229"/>
      <c r="G178" s="1"/>
    </row>
  </sheetData>
  <mergeCells count="53">
    <mergeCell ref="C19:C24"/>
    <mergeCell ref="C51:C53"/>
    <mergeCell ref="C98:C100"/>
    <mergeCell ref="C63:C66"/>
    <mergeCell ref="C89:C94"/>
    <mergeCell ref="C28:C33"/>
    <mergeCell ref="C25:C26"/>
    <mergeCell ref="C48:C49"/>
    <mergeCell ref="C35:C47"/>
    <mergeCell ref="C69:C72"/>
    <mergeCell ref="C84:C86"/>
    <mergeCell ref="C61:C62"/>
    <mergeCell ref="C73:C77"/>
    <mergeCell ref="C58:C59"/>
    <mergeCell ref="C80:C81"/>
    <mergeCell ref="C54:C55"/>
    <mergeCell ref="A1:G1"/>
    <mergeCell ref="A2:G2"/>
    <mergeCell ref="A4:A12"/>
    <mergeCell ref="B4:B12"/>
    <mergeCell ref="A13:A18"/>
    <mergeCell ref="B13:B18"/>
    <mergeCell ref="C5:C9"/>
    <mergeCell ref="C16:C17"/>
    <mergeCell ref="C10:C11"/>
    <mergeCell ref="C13:C14"/>
    <mergeCell ref="A19:A27"/>
    <mergeCell ref="B19:B27"/>
    <mergeCell ref="A28:A34"/>
    <mergeCell ref="B28:B34"/>
    <mergeCell ref="A35:A50"/>
    <mergeCell ref="B35:B50"/>
    <mergeCell ref="A51:A56"/>
    <mergeCell ref="B51:B56"/>
    <mergeCell ref="A57:A60"/>
    <mergeCell ref="B57:B60"/>
    <mergeCell ref="A61:A68"/>
    <mergeCell ref="B61:B68"/>
    <mergeCell ref="A69:A79"/>
    <mergeCell ref="B69:B79"/>
    <mergeCell ref="A80:A83"/>
    <mergeCell ref="B80:B83"/>
    <mergeCell ref="A84:A88"/>
    <mergeCell ref="C171:C175"/>
    <mergeCell ref="F171:F174"/>
    <mergeCell ref="G171:G175"/>
    <mergeCell ref="A98:A102"/>
    <mergeCell ref="B84:B88"/>
    <mergeCell ref="B89:B97"/>
    <mergeCell ref="B98:B102"/>
    <mergeCell ref="A89:A97"/>
    <mergeCell ref="C103:C106"/>
    <mergeCell ref="C95:C96"/>
  </mergeCells>
  <pageMargins left="0.7" right="0.33" top="0.49" bottom="0.57999999999999996" header="0.3" footer="0.35"/>
  <pageSetup paperSize="9"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49"/>
  <sheetViews>
    <sheetView topLeftCell="A137" workbookViewId="0">
      <selection activeCell="D147" sqref="D147"/>
    </sheetView>
  </sheetViews>
  <sheetFormatPr defaultRowHeight="15"/>
  <cols>
    <col min="1" max="1" width="6.28515625" customWidth="1"/>
    <col min="2" max="2" width="13.5703125" customWidth="1"/>
    <col min="3" max="3" width="18.140625" customWidth="1"/>
    <col min="4" max="4" width="45" style="6" customWidth="1"/>
    <col min="5" max="5" width="10.85546875" customWidth="1"/>
    <col min="6" max="6" width="24.5703125" style="6" customWidth="1"/>
    <col min="7" max="7" width="20.5703125" customWidth="1"/>
    <col min="8" max="8" width="34.140625" customWidth="1"/>
    <col min="9" max="9" width="21.28515625" customWidth="1"/>
    <col min="10" max="10" width="15.28515625" customWidth="1"/>
  </cols>
  <sheetData>
    <row r="1" spans="1:9" ht="21">
      <c r="A1" s="255" t="s">
        <v>55</v>
      </c>
      <c r="B1" s="256"/>
      <c r="C1" s="256"/>
      <c r="D1" s="256"/>
      <c r="E1" s="256"/>
      <c r="F1" s="256"/>
      <c r="G1" s="256"/>
    </row>
    <row r="2" spans="1:9" ht="15.75">
      <c r="A2" s="257" t="s">
        <v>303</v>
      </c>
      <c r="B2" s="257"/>
      <c r="C2" s="257"/>
      <c r="D2" s="257"/>
      <c r="E2" s="257"/>
      <c r="F2" s="257"/>
      <c r="G2" s="257"/>
    </row>
    <row r="3" spans="1:9" s="7" customFormat="1" ht="45" customHeight="1">
      <c r="A3" s="3" t="s">
        <v>0</v>
      </c>
      <c r="B3" s="3" t="s">
        <v>10</v>
      </c>
      <c r="C3" s="3" t="s">
        <v>11</v>
      </c>
      <c r="D3" s="3" t="s">
        <v>54</v>
      </c>
      <c r="E3" s="3" t="s">
        <v>59</v>
      </c>
      <c r="F3" s="3" t="s">
        <v>1473</v>
      </c>
      <c r="G3" s="3" t="s">
        <v>57</v>
      </c>
      <c r="H3" s="6"/>
      <c r="I3" s="6"/>
    </row>
    <row r="4" spans="1:9" ht="105.75" customHeight="1">
      <c r="A4" s="251" t="s">
        <v>1</v>
      </c>
      <c r="B4" s="247" t="s">
        <v>313</v>
      </c>
      <c r="C4" s="271" t="s">
        <v>313</v>
      </c>
      <c r="D4" s="41" t="s">
        <v>909</v>
      </c>
      <c r="E4" s="46">
        <v>2.5</v>
      </c>
      <c r="F4" s="229" t="s">
        <v>1485</v>
      </c>
      <c r="G4" s="44" t="s">
        <v>958</v>
      </c>
      <c r="H4" s="4"/>
    </row>
    <row r="5" spans="1:9" ht="33" customHeight="1">
      <c r="A5" s="251"/>
      <c r="B5" s="247"/>
      <c r="C5" s="271"/>
      <c r="D5" s="67" t="s">
        <v>1121</v>
      </c>
      <c r="E5" s="229">
        <v>1</v>
      </c>
      <c r="F5" s="229" t="s">
        <v>1116</v>
      </c>
      <c r="G5" s="15" t="s">
        <v>783</v>
      </c>
      <c r="H5" s="4"/>
    </row>
    <row r="6" spans="1:9" ht="35.25" customHeight="1">
      <c r="A6" s="251"/>
      <c r="B6" s="247"/>
      <c r="C6" s="271"/>
      <c r="D6" s="229" t="s">
        <v>1127</v>
      </c>
      <c r="E6" s="64">
        <v>0.8</v>
      </c>
      <c r="F6" s="229" t="s">
        <v>1116</v>
      </c>
      <c r="G6" s="34" t="s">
        <v>783</v>
      </c>
      <c r="H6" s="4"/>
    </row>
    <row r="7" spans="1:9" ht="35.25" customHeight="1">
      <c r="A7" s="251"/>
      <c r="B7" s="247"/>
      <c r="C7" s="271"/>
      <c r="D7" s="37" t="s">
        <v>1179</v>
      </c>
      <c r="E7" s="9">
        <v>0.45</v>
      </c>
      <c r="F7" s="229" t="s">
        <v>1116</v>
      </c>
      <c r="G7" s="34" t="s">
        <v>783</v>
      </c>
      <c r="H7" s="4"/>
    </row>
    <row r="8" spans="1:9" ht="54.75" customHeight="1">
      <c r="A8" s="251"/>
      <c r="B8" s="247"/>
      <c r="C8" s="271"/>
      <c r="D8" s="229" t="s">
        <v>1561</v>
      </c>
      <c r="E8" s="9">
        <v>2.16</v>
      </c>
      <c r="F8" s="78" t="s">
        <v>1558</v>
      </c>
      <c r="G8" s="78" t="s">
        <v>1556</v>
      </c>
      <c r="H8" s="4"/>
    </row>
    <row r="9" spans="1:9" ht="54.75" customHeight="1">
      <c r="A9" s="251"/>
      <c r="B9" s="247"/>
      <c r="C9" s="271"/>
      <c r="D9" s="229" t="s">
        <v>1575</v>
      </c>
      <c r="E9" s="9">
        <v>10</v>
      </c>
      <c r="F9" s="78" t="s">
        <v>1571</v>
      </c>
      <c r="G9" s="78" t="s">
        <v>1556</v>
      </c>
      <c r="H9" s="4"/>
    </row>
    <row r="10" spans="1:9" ht="52.5" customHeight="1">
      <c r="A10" s="251"/>
      <c r="B10" s="247"/>
      <c r="C10" s="271"/>
      <c r="D10" s="189" t="s">
        <v>1600</v>
      </c>
      <c r="E10" s="36">
        <v>8</v>
      </c>
      <c r="F10" s="197" t="s">
        <v>1594</v>
      </c>
      <c r="G10" s="78" t="s">
        <v>1556</v>
      </c>
      <c r="H10" s="4"/>
    </row>
    <row r="11" spans="1:9" ht="17.25" customHeight="1">
      <c r="A11" s="251"/>
      <c r="B11" s="247"/>
      <c r="C11" s="8" t="s">
        <v>12</v>
      </c>
      <c r="D11" s="8"/>
      <c r="E11" s="86">
        <f>SUM(E4:E10)</f>
        <v>24.91</v>
      </c>
      <c r="F11" s="229"/>
      <c r="G11" s="229"/>
      <c r="H11" s="4"/>
    </row>
    <row r="12" spans="1:9" ht="99.75" customHeight="1">
      <c r="A12" s="251" t="s">
        <v>2</v>
      </c>
      <c r="B12" s="247" t="s">
        <v>314</v>
      </c>
      <c r="C12" s="271" t="s">
        <v>521</v>
      </c>
      <c r="D12" s="34" t="s">
        <v>891</v>
      </c>
      <c r="E12" s="45">
        <v>8</v>
      </c>
      <c r="F12" s="229" t="s">
        <v>1485</v>
      </c>
      <c r="G12" s="44" t="s">
        <v>958</v>
      </c>
      <c r="H12" s="4"/>
    </row>
    <row r="13" spans="1:9" ht="54.75" customHeight="1">
      <c r="A13" s="251"/>
      <c r="B13" s="247"/>
      <c r="C13" s="271"/>
      <c r="D13" s="37" t="s">
        <v>1410</v>
      </c>
      <c r="E13" s="64">
        <v>0.5</v>
      </c>
      <c r="F13" s="229" t="s">
        <v>1408</v>
      </c>
      <c r="G13" s="229" t="s">
        <v>1409</v>
      </c>
      <c r="H13" s="4"/>
    </row>
    <row r="14" spans="1:9" ht="90">
      <c r="A14" s="251"/>
      <c r="B14" s="247"/>
      <c r="C14" s="271" t="s">
        <v>526</v>
      </c>
      <c r="D14" s="43" t="s">
        <v>941</v>
      </c>
      <c r="E14" s="48">
        <v>0.5</v>
      </c>
      <c r="F14" s="229" t="s">
        <v>1485</v>
      </c>
      <c r="G14" s="44" t="s">
        <v>958</v>
      </c>
      <c r="H14" s="4"/>
    </row>
    <row r="15" spans="1:9" ht="90">
      <c r="A15" s="251"/>
      <c r="B15" s="247"/>
      <c r="C15" s="271"/>
      <c r="D15" s="34" t="s">
        <v>1102</v>
      </c>
      <c r="E15" s="64">
        <v>0.9</v>
      </c>
      <c r="F15" s="229" t="s">
        <v>1485</v>
      </c>
      <c r="G15" s="229" t="s">
        <v>1078</v>
      </c>
      <c r="H15" s="4"/>
    </row>
    <row r="16" spans="1:9" ht="45">
      <c r="A16" s="251"/>
      <c r="B16" s="247"/>
      <c r="C16" s="271"/>
      <c r="D16" s="229" t="s">
        <v>1329</v>
      </c>
      <c r="E16" s="9">
        <v>7</v>
      </c>
      <c r="F16" s="229" t="s">
        <v>1205</v>
      </c>
      <c r="G16" s="229" t="s">
        <v>1507</v>
      </c>
      <c r="H16" s="4"/>
    </row>
    <row r="17" spans="1:9" ht="96.75" customHeight="1">
      <c r="A17" s="251"/>
      <c r="B17" s="247"/>
      <c r="C17" s="271"/>
      <c r="D17" s="59" t="s">
        <v>1046</v>
      </c>
      <c r="E17" s="60">
        <v>1</v>
      </c>
      <c r="F17" s="27" t="s">
        <v>1485</v>
      </c>
      <c r="G17" s="61" t="s">
        <v>1044</v>
      </c>
      <c r="H17" s="4"/>
    </row>
    <row r="18" spans="1:9">
      <c r="A18" s="251"/>
      <c r="B18" s="247"/>
      <c r="C18" s="8" t="s">
        <v>12</v>
      </c>
      <c r="D18" s="8"/>
      <c r="E18" s="86">
        <f>SUM(E12:E17)</f>
        <v>17.899999999999999</v>
      </c>
      <c r="F18" s="229"/>
      <c r="G18" s="229"/>
      <c r="H18" s="4"/>
    </row>
    <row r="19" spans="1:9" ht="72" customHeight="1">
      <c r="A19" s="251" t="s">
        <v>3</v>
      </c>
      <c r="B19" s="247" t="s">
        <v>315</v>
      </c>
      <c r="C19" s="271" t="s">
        <v>315</v>
      </c>
      <c r="D19" s="8" t="s">
        <v>587</v>
      </c>
      <c r="E19" s="229">
        <v>5</v>
      </c>
      <c r="F19" s="229" t="s">
        <v>1426</v>
      </c>
      <c r="G19" s="229" t="s">
        <v>626</v>
      </c>
      <c r="H19" s="5" t="s">
        <v>1426</v>
      </c>
      <c r="I19" s="115" t="s">
        <v>1398</v>
      </c>
    </row>
    <row r="20" spans="1:9" ht="80.25" customHeight="1">
      <c r="A20" s="251"/>
      <c r="B20" s="247"/>
      <c r="C20" s="271"/>
      <c r="D20" s="8" t="s">
        <v>592</v>
      </c>
      <c r="E20" s="229">
        <v>0.5</v>
      </c>
      <c r="F20" s="229" t="s">
        <v>1426</v>
      </c>
      <c r="G20" s="229" t="s">
        <v>487</v>
      </c>
      <c r="H20" s="5" t="s">
        <v>1426</v>
      </c>
      <c r="I20" s="115" t="s">
        <v>1398</v>
      </c>
    </row>
    <row r="21" spans="1:9" ht="81.75" customHeight="1">
      <c r="A21" s="251"/>
      <c r="B21" s="247"/>
      <c r="C21" s="271"/>
      <c r="D21" s="8" t="s">
        <v>635</v>
      </c>
      <c r="E21" s="229">
        <v>0.5</v>
      </c>
      <c r="F21" s="229" t="s">
        <v>1426</v>
      </c>
      <c r="G21" s="229" t="s">
        <v>487</v>
      </c>
      <c r="H21" s="5" t="s">
        <v>1426</v>
      </c>
      <c r="I21" s="115" t="s">
        <v>1398</v>
      </c>
    </row>
    <row r="22" spans="1:9" ht="73.5" customHeight="1">
      <c r="A22" s="251"/>
      <c r="B22" s="247"/>
      <c r="C22" s="271"/>
      <c r="D22" s="8" t="s">
        <v>588</v>
      </c>
      <c r="E22" s="229">
        <v>8</v>
      </c>
      <c r="F22" s="229" t="s">
        <v>1426</v>
      </c>
      <c r="G22" s="229" t="s">
        <v>626</v>
      </c>
      <c r="H22" s="5" t="s">
        <v>1426</v>
      </c>
      <c r="I22" s="115" t="s">
        <v>1398</v>
      </c>
    </row>
    <row r="23" spans="1:9" ht="108" customHeight="1">
      <c r="A23" s="251"/>
      <c r="B23" s="247"/>
      <c r="C23" s="271"/>
      <c r="D23" s="41" t="s">
        <v>915</v>
      </c>
      <c r="E23" s="46">
        <v>2</v>
      </c>
      <c r="F23" s="229" t="s">
        <v>1485</v>
      </c>
      <c r="G23" s="44" t="s">
        <v>958</v>
      </c>
      <c r="H23" s="122"/>
      <c r="I23" s="114"/>
    </row>
    <row r="24" spans="1:9" ht="92.25" customHeight="1">
      <c r="A24" s="251"/>
      <c r="B24" s="247"/>
      <c r="C24" s="271"/>
      <c r="D24" s="68" t="s">
        <v>1201</v>
      </c>
      <c r="E24" s="9">
        <v>2.6</v>
      </c>
      <c r="F24" s="229" t="s">
        <v>1485</v>
      </c>
      <c r="G24" s="44" t="s">
        <v>958</v>
      </c>
      <c r="H24" s="5"/>
      <c r="I24" s="114"/>
    </row>
    <row r="25" spans="1:9" ht="45">
      <c r="A25" s="251"/>
      <c r="B25" s="247"/>
      <c r="C25" s="271"/>
      <c r="D25" s="229" t="s">
        <v>1210</v>
      </c>
      <c r="E25" s="9">
        <v>2</v>
      </c>
      <c r="F25" s="229" t="s">
        <v>1205</v>
      </c>
      <c r="G25" s="229" t="s">
        <v>92</v>
      </c>
      <c r="H25" s="27"/>
    </row>
    <row r="26" spans="1:9" ht="57.75" customHeight="1">
      <c r="A26" s="251"/>
      <c r="B26" s="247"/>
      <c r="C26" s="271" t="s">
        <v>527</v>
      </c>
      <c r="D26" s="8" t="s">
        <v>1407</v>
      </c>
      <c r="E26" s="8">
        <v>10</v>
      </c>
      <c r="F26" s="229" t="s">
        <v>1426</v>
      </c>
      <c r="G26" s="8" t="s">
        <v>636</v>
      </c>
      <c r="H26" s="5" t="s">
        <v>1426</v>
      </c>
      <c r="I26" s="115" t="s">
        <v>1398</v>
      </c>
    </row>
    <row r="27" spans="1:9" ht="57.75" customHeight="1">
      <c r="A27" s="251"/>
      <c r="B27" s="247"/>
      <c r="C27" s="271"/>
      <c r="D27" s="8" t="s">
        <v>653</v>
      </c>
      <c r="E27" s="8">
        <v>1</v>
      </c>
      <c r="F27" s="229" t="s">
        <v>1426</v>
      </c>
      <c r="G27" s="8" t="s">
        <v>636</v>
      </c>
      <c r="H27" s="5" t="s">
        <v>1426</v>
      </c>
      <c r="I27" s="115" t="s">
        <v>1398</v>
      </c>
    </row>
    <row r="28" spans="1:9" ht="97.5" customHeight="1">
      <c r="A28" s="251"/>
      <c r="B28" s="247"/>
      <c r="C28" s="271"/>
      <c r="D28" s="35" t="s">
        <v>942</v>
      </c>
      <c r="E28" s="47">
        <v>0.3</v>
      </c>
      <c r="F28" s="229" t="s">
        <v>1485</v>
      </c>
      <c r="G28" s="44" t="s">
        <v>958</v>
      </c>
      <c r="H28" s="4"/>
    </row>
    <row r="29" spans="1:9">
      <c r="A29" s="251"/>
      <c r="B29" s="247"/>
      <c r="C29" s="228" t="s">
        <v>12</v>
      </c>
      <c r="D29" s="11"/>
      <c r="E29" s="13">
        <f>SUM(E19:E28)</f>
        <v>31.900000000000002</v>
      </c>
      <c r="F29" s="13"/>
      <c r="G29" s="13"/>
      <c r="H29" s="4"/>
      <c r="I29" s="4"/>
    </row>
    <row r="30" spans="1:9" ht="90">
      <c r="A30" s="251" t="s">
        <v>4</v>
      </c>
      <c r="B30" s="247" t="s">
        <v>316</v>
      </c>
      <c r="C30" s="271" t="s">
        <v>316</v>
      </c>
      <c r="D30" s="34" t="s">
        <v>964</v>
      </c>
      <c r="E30" s="46">
        <v>4</v>
      </c>
      <c r="F30" s="229" t="s">
        <v>1485</v>
      </c>
      <c r="G30" s="44" t="s">
        <v>958</v>
      </c>
      <c r="H30" s="4"/>
      <c r="I30" s="4"/>
    </row>
    <row r="31" spans="1:9" ht="47.25">
      <c r="A31" s="251"/>
      <c r="B31" s="247"/>
      <c r="C31" s="271"/>
      <c r="D31" s="34" t="s">
        <v>1560</v>
      </c>
      <c r="E31" s="46">
        <v>1</v>
      </c>
      <c r="F31" s="78" t="s">
        <v>1558</v>
      </c>
      <c r="G31" s="78" t="s">
        <v>1556</v>
      </c>
      <c r="H31" s="4"/>
      <c r="I31" s="4"/>
    </row>
    <row r="32" spans="1:9" ht="30">
      <c r="A32" s="251"/>
      <c r="B32" s="247"/>
      <c r="C32" s="271" t="s">
        <v>524</v>
      </c>
      <c r="D32" s="37" t="s">
        <v>1178</v>
      </c>
      <c r="E32" s="64">
        <v>0.45</v>
      </c>
      <c r="F32" s="229" t="s">
        <v>485</v>
      </c>
      <c r="G32" s="229" t="s">
        <v>783</v>
      </c>
      <c r="H32" s="4"/>
      <c r="I32" s="4"/>
    </row>
    <row r="33" spans="1:9" ht="90">
      <c r="A33" s="251"/>
      <c r="B33" s="247"/>
      <c r="C33" s="271"/>
      <c r="D33" s="43" t="s">
        <v>939</v>
      </c>
      <c r="E33" s="48">
        <v>0.2</v>
      </c>
      <c r="F33" s="229" t="s">
        <v>1485</v>
      </c>
      <c r="G33" s="44" t="s">
        <v>958</v>
      </c>
      <c r="H33" s="4"/>
      <c r="I33" s="4"/>
    </row>
    <row r="34" spans="1:9" ht="47.25">
      <c r="A34" s="251"/>
      <c r="B34" s="247"/>
      <c r="C34" s="271"/>
      <c r="D34" s="189" t="s">
        <v>1583</v>
      </c>
      <c r="E34" s="9">
        <v>0.49</v>
      </c>
      <c r="F34" s="158" t="s">
        <v>1581</v>
      </c>
      <c r="G34" s="78" t="s">
        <v>1556</v>
      </c>
      <c r="H34" s="4"/>
      <c r="I34" s="4"/>
    </row>
    <row r="35" spans="1:9" ht="57">
      <c r="A35" s="251"/>
      <c r="B35" s="247"/>
      <c r="C35" s="271"/>
      <c r="D35" s="189" t="s">
        <v>1597</v>
      </c>
      <c r="E35" s="9">
        <v>2.5</v>
      </c>
      <c r="F35" s="197" t="s">
        <v>1594</v>
      </c>
      <c r="G35" s="78" t="s">
        <v>1556</v>
      </c>
      <c r="H35" s="4"/>
    </row>
    <row r="36" spans="1:9">
      <c r="A36" s="251"/>
      <c r="B36" s="247"/>
      <c r="C36" s="8" t="s">
        <v>12</v>
      </c>
      <c r="D36" s="8"/>
      <c r="E36" s="86">
        <f>SUM(E30:E35)</f>
        <v>8.64</v>
      </c>
      <c r="F36" s="229"/>
      <c r="G36" s="229"/>
      <c r="H36" s="4"/>
    </row>
    <row r="37" spans="1:9" ht="47.25">
      <c r="A37" s="251" t="s">
        <v>5</v>
      </c>
      <c r="B37" s="247" t="s">
        <v>317</v>
      </c>
      <c r="C37" s="229" t="s">
        <v>317</v>
      </c>
      <c r="D37" s="70" t="s">
        <v>1307</v>
      </c>
      <c r="E37" s="9">
        <v>2</v>
      </c>
      <c r="F37" s="229" t="s">
        <v>1418</v>
      </c>
      <c r="G37" s="25" t="s">
        <v>92</v>
      </c>
      <c r="H37" s="4"/>
    </row>
    <row r="38" spans="1:9" ht="31.5">
      <c r="A38" s="251"/>
      <c r="B38" s="247"/>
      <c r="C38" s="27" t="s">
        <v>523</v>
      </c>
      <c r="D38" s="70" t="s">
        <v>1309</v>
      </c>
      <c r="E38" s="9">
        <v>2</v>
      </c>
      <c r="F38" s="229" t="s">
        <v>1418</v>
      </c>
      <c r="G38" s="25" t="s">
        <v>92</v>
      </c>
      <c r="H38" s="4"/>
    </row>
    <row r="39" spans="1:9" ht="30">
      <c r="A39" s="251"/>
      <c r="B39" s="247"/>
      <c r="C39" s="271" t="s">
        <v>522</v>
      </c>
      <c r="D39" s="37" t="s">
        <v>1156</v>
      </c>
      <c r="E39" s="229">
        <v>0.04</v>
      </c>
      <c r="F39" s="229" t="s">
        <v>1116</v>
      </c>
      <c r="G39" s="61" t="s">
        <v>1503</v>
      </c>
      <c r="H39" s="4"/>
    </row>
    <row r="40" spans="1:9" ht="90">
      <c r="A40" s="251"/>
      <c r="B40" s="247"/>
      <c r="C40" s="271"/>
      <c r="D40" s="65" t="s">
        <v>1101</v>
      </c>
      <c r="E40" s="64">
        <v>0.9</v>
      </c>
      <c r="F40" s="229" t="s">
        <v>1485</v>
      </c>
      <c r="G40" s="229" t="s">
        <v>1078</v>
      </c>
    </row>
    <row r="41" spans="1:9" ht="47.25">
      <c r="A41" s="251"/>
      <c r="B41" s="247"/>
      <c r="C41" s="271"/>
      <c r="D41" s="70" t="s">
        <v>1310</v>
      </c>
      <c r="E41" s="9">
        <v>2</v>
      </c>
      <c r="F41" s="229" t="s">
        <v>1418</v>
      </c>
      <c r="G41" s="25" t="s">
        <v>92</v>
      </c>
    </row>
    <row r="42" spans="1:9" ht="60">
      <c r="A42" s="251"/>
      <c r="B42" s="247"/>
      <c r="C42" s="271"/>
      <c r="D42" s="229" t="s">
        <v>769</v>
      </c>
      <c r="E42" s="36">
        <v>1.6</v>
      </c>
      <c r="F42" s="229" t="s">
        <v>1403</v>
      </c>
      <c r="G42" s="229" t="s">
        <v>1479</v>
      </c>
      <c r="H42" s="6" t="s">
        <v>1403</v>
      </c>
      <c r="I42" s="7" t="s">
        <v>1398</v>
      </c>
    </row>
    <row r="43" spans="1:9" ht="45">
      <c r="A43" s="251"/>
      <c r="B43" s="247"/>
      <c r="C43" s="271"/>
      <c r="D43" s="229" t="s">
        <v>1326</v>
      </c>
      <c r="E43" s="9">
        <v>5</v>
      </c>
      <c r="F43" s="229" t="s">
        <v>1205</v>
      </c>
      <c r="G43" s="229" t="s">
        <v>1507</v>
      </c>
      <c r="H43" s="5" t="s">
        <v>1205</v>
      </c>
    </row>
    <row r="44" spans="1:9">
      <c r="A44" s="251"/>
      <c r="B44" s="247"/>
      <c r="C44" s="228" t="s">
        <v>12</v>
      </c>
      <c r="D44" s="16"/>
      <c r="E44" s="13">
        <f>SUM(E37:E43)</f>
        <v>13.540000000000001</v>
      </c>
      <c r="F44" s="13"/>
      <c r="G44" s="12"/>
      <c r="H44" s="4"/>
    </row>
    <row r="45" spans="1:9" ht="77.25" customHeight="1">
      <c r="A45" s="251" t="s">
        <v>6</v>
      </c>
      <c r="B45" s="247" t="s">
        <v>318</v>
      </c>
      <c r="C45" s="271" t="s">
        <v>318</v>
      </c>
      <c r="D45" s="8" t="s">
        <v>807</v>
      </c>
      <c r="E45" s="229">
        <v>3</v>
      </c>
      <c r="F45" s="229" t="s">
        <v>1397</v>
      </c>
      <c r="G45" s="229" t="s">
        <v>986</v>
      </c>
      <c r="H45" s="6" t="s">
        <v>1397</v>
      </c>
      <c r="I45" s="6" t="s">
        <v>1398</v>
      </c>
    </row>
    <row r="46" spans="1:9" ht="72.75" customHeight="1">
      <c r="A46" s="251"/>
      <c r="B46" s="247"/>
      <c r="C46" s="271"/>
      <c r="D46" s="229" t="s">
        <v>589</v>
      </c>
      <c r="E46" s="9">
        <v>4</v>
      </c>
      <c r="F46" s="229" t="s">
        <v>1426</v>
      </c>
      <c r="G46" s="229" t="s">
        <v>636</v>
      </c>
      <c r="H46" s="5" t="s">
        <v>1426</v>
      </c>
      <c r="I46" s="115" t="s">
        <v>1398</v>
      </c>
    </row>
    <row r="47" spans="1:9" ht="72.75" customHeight="1">
      <c r="A47" s="251"/>
      <c r="B47" s="247"/>
      <c r="C47" s="271"/>
      <c r="D47" s="229" t="s">
        <v>591</v>
      </c>
      <c r="E47" s="9">
        <v>0.5</v>
      </c>
      <c r="F47" s="229" t="s">
        <v>1426</v>
      </c>
      <c r="G47" s="229" t="s">
        <v>487</v>
      </c>
      <c r="H47" s="5" t="s">
        <v>1426</v>
      </c>
      <c r="I47" s="115" t="s">
        <v>1398</v>
      </c>
    </row>
    <row r="48" spans="1:9" ht="72.75" customHeight="1">
      <c r="A48" s="251"/>
      <c r="B48" s="247"/>
      <c r="C48" s="271"/>
      <c r="D48" s="229" t="s">
        <v>590</v>
      </c>
      <c r="E48" s="9">
        <v>2</v>
      </c>
      <c r="F48" s="229" t="s">
        <v>1426</v>
      </c>
      <c r="G48" s="229" t="s">
        <v>487</v>
      </c>
      <c r="H48" s="5" t="s">
        <v>1426</v>
      </c>
      <c r="I48" s="115" t="s">
        <v>1398</v>
      </c>
    </row>
    <row r="49" spans="1:9" ht="53.25" customHeight="1">
      <c r="A49" s="251"/>
      <c r="B49" s="247"/>
      <c r="C49" s="271"/>
      <c r="D49" s="229" t="s">
        <v>1322</v>
      </c>
      <c r="E49" s="9">
        <v>5</v>
      </c>
      <c r="F49" s="229" t="s">
        <v>1205</v>
      </c>
      <c r="G49" s="229" t="s">
        <v>1507</v>
      </c>
      <c r="H49" s="5" t="s">
        <v>1205</v>
      </c>
      <c r="I49" s="6"/>
    </row>
    <row r="50" spans="1:9" ht="97.5" customHeight="1">
      <c r="A50" s="251"/>
      <c r="B50" s="247"/>
      <c r="C50" s="271"/>
      <c r="D50" s="68" t="s">
        <v>1202</v>
      </c>
      <c r="E50" s="9">
        <v>4</v>
      </c>
      <c r="F50" s="229" t="s">
        <v>1485</v>
      </c>
      <c r="G50" s="44" t="s">
        <v>958</v>
      </c>
      <c r="H50" s="122"/>
      <c r="I50" s="6"/>
    </row>
    <row r="51" spans="1:9" ht="107.25" customHeight="1">
      <c r="A51" s="251"/>
      <c r="B51" s="247"/>
      <c r="C51" s="271"/>
      <c r="D51" s="59" t="s">
        <v>1057</v>
      </c>
      <c r="E51" s="60">
        <v>2</v>
      </c>
      <c r="F51" s="229" t="s">
        <v>1485</v>
      </c>
      <c r="G51" s="61" t="s">
        <v>1044</v>
      </c>
      <c r="H51" s="6"/>
      <c r="I51" s="6"/>
    </row>
    <row r="52" spans="1:9">
      <c r="A52" s="251"/>
      <c r="B52" s="247"/>
      <c r="C52" s="8" t="s">
        <v>12</v>
      </c>
      <c r="D52" s="8"/>
      <c r="E52" s="90">
        <f>SUM(E45:E51)</f>
        <v>20.5</v>
      </c>
      <c r="F52" s="229"/>
      <c r="G52" s="229"/>
      <c r="H52" s="4"/>
    </row>
    <row r="53" spans="1:9" ht="93.75" customHeight="1">
      <c r="A53" s="251" t="s">
        <v>7</v>
      </c>
      <c r="B53" s="247" t="s">
        <v>319</v>
      </c>
      <c r="C53" s="271" t="s">
        <v>319</v>
      </c>
      <c r="D53" s="65" t="s">
        <v>1114</v>
      </c>
      <c r="E53" s="64">
        <v>0.9</v>
      </c>
      <c r="F53" s="229" t="s">
        <v>1485</v>
      </c>
      <c r="G53" s="229" t="s">
        <v>1078</v>
      </c>
      <c r="H53" s="4"/>
    </row>
    <row r="54" spans="1:9" ht="31.5">
      <c r="A54" s="251"/>
      <c r="B54" s="247"/>
      <c r="C54" s="271"/>
      <c r="D54" s="93" t="s">
        <v>1383</v>
      </c>
      <c r="E54" s="103">
        <v>1</v>
      </c>
      <c r="F54" s="229" t="s">
        <v>1344</v>
      </c>
      <c r="G54" s="25" t="s">
        <v>92</v>
      </c>
      <c r="H54" s="4"/>
      <c r="I54" s="4"/>
    </row>
    <row r="55" spans="1:9" ht="20.25" customHeight="1">
      <c r="A55" s="251"/>
      <c r="B55" s="247"/>
      <c r="C55" s="228" t="s">
        <v>12</v>
      </c>
      <c r="D55" s="16"/>
      <c r="E55" s="233">
        <f>SUM(E53:E54)</f>
        <v>1.9</v>
      </c>
      <c r="F55" s="15"/>
      <c r="G55" s="12"/>
      <c r="H55" s="4"/>
      <c r="I55" s="4"/>
    </row>
    <row r="56" spans="1:9" ht="38.25" customHeight="1">
      <c r="A56" s="251" t="s">
        <v>9</v>
      </c>
      <c r="B56" s="247" t="s">
        <v>320</v>
      </c>
      <c r="C56" s="271" t="s">
        <v>320</v>
      </c>
      <c r="D56" s="229" t="s">
        <v>1126</v>
      </c>
      <c r="E56" s="64">
        <v>1</v>
      </c>
      <c r="F56" s="229" t="s">
        <v>1116</v>
      </c>
      <c r="G56" s="34" t="s">
        <v>783</v>
      </c>
      <c r="H56" s="4"/>
      <c r="I56" s="4"/>
    </row>
    <row r="57" spans="1:9" ht="38.25" customHeight="1">
      <c r="A57" s="251"/>
      <c r="B57" s="247"/>
      <c r="C57" s="271"/>
      <c r="D57" s="37" t="s">
        <v>1177</v>
      </c>
      <c r="E57" s="64">
        <v>0.45</v>
      </c>
      <c r="F57" s="229" t="s">
        <v>1116</v>
      </c>
      <c r="G57" s="34" t="s">
        <v>783</v>
      </c>
      <c r="H57" s="4"/>
      <c r="I57" s="4"/>
    </row>
    <row r="58" spans="1:9" ht="38.25" customHeight="1">
      <c r="A58" s="251"/>
      <c r="B58" s="247"/>
      <c r="C58" s="271"/>
      <c r="D58" s="70" t="s">
        <v>1308</v>
      </c>
      <c r="E58" s="9">
        <v>2</v>
      </c>
      <c r="F58" s="229" t="s">
        <v>1418</v>
      </c>
      <c r="G58" s="25" t="s">
        <v>92</v>
      </c>
      <c r="H58" s="4"/>
      <c r="I58" s="4"/>
    </row>
    <row r="59" spans="1:9" ht="99.75" customHeight="1">
      <c r="A59" s="251"/>
      <c r="B59" s="247"/>
      <c r="C59" s="271"/>
      <c r="D59" s="59" t="s">
        <v>1049</v>
      </c>
      <c r="E59" s="60">
        <v>2</v>
      </c>
      <c r="F59" s="229" t="s">
        <v>1485</v>
      </c>
      <c r="G59" s="61" t="s">
        <v>1044</v>
      </c>
      <c r="H59" s="4"/>
      <c r="I59" s="4"/>
    </row>
    <row r="60" spans="1:9" ht="96" customHeight="1">
      <c r="A60" s="251"/>
      <c r="B60" s="247"/>
      <c r="C60" s="271"/>
      <c r="D60" s="34" t="s">
        <v>892</v>
      </c>
      <c r="E60" s="45">
        <v>13</v>
      </c>
      <c r="F60" s="229" t="s">
        <v>1485</v>
      </c>
      <c r="G60" s="44" t="s">
        <v>958</v>
      </c>
      <c r="H60" s="4"/>
      <c r="I60" s="4"/>
    </row>
    <row r="61" spans="1:9" ht="93" customHeight="1">
      <c r="A61" s="251"/>
      <c r="B61" s="247"/>
      <c r="C61" s="271"/>
      <c r="D61" s="59" t="s">
        <v>1050</v>
      </c>
      <c r="E61" s="60">
        <v>2</v>
      </c>
      <c r="F61" s="229" t="s">
        <v>1485</v>
      </c>
      <c r="G61" s="61" t="s">
        <v>1044</v>
      </c>
      <c r="H61" s="4"/>
      <c r="I61" s="4"/>
    </row>
    <row r="62" spans="1:9" ht="91.5" customHeight="1">
      <c r="A62" s="251"/>
      <c r="B62" s="247"/>
      <c r="C62" s="271"/>
      <c r="D62" s="59" t="s">
        <v>1054</v>
      </c>
      <c r="E62" s="60">
        <v>1.5</v>
      </c>
      <c r="F62" s="229" t="s">
        <v>1485</v>
      </c>
      <c r="G62" s="61" t="s">
        <v>1044</v>
      </c>
      <c r="H62" s="4"/>
      <c r="I62" s="4"/>
    </row>
    <row r="63" spans="1:9" ht="90" customHeight="1">
      <c r="A63" s="251"/>
      <c r="B63" s="247"/>
      <c r="C63" s="271"/>
      <c r="D63" s="59" t="s">
        <v>1052</v>
      </c>
      <c r="E63" s="60">
        <v>1.25</v>
      </c>
      <c r="F63" s="229" t="s">
        <v>1485</v>
      </c>
      <c r="G63" s="61" t="s">
        <v>1044</v>
      </c>
      <c r="H63" s="4"/>
      <c r="I63" s="4"/>
    </row>
    <row r="64" spans="1:9" ht="90">
      <c r="A64" s="251"/>
      <c r="B64" s="247"/>
      <c r="C64" s="271" t="s">
        <v>525</v>
      </c>
      <c r="D64" s="43" t="s">
        <v>936</v>
      </c>
      <c r="E64" s="48">
        <v>2</v>
      </c>
      <c r="F64" s="229" t="s">
        <v>1485</v>
      </c>
      <c r="G64" s="44" t="s">
        <v>958</v>
      </c>
      <c r="H64" s="4"/>
      <c r="I64" s="4"/>
    </row>
    <row r="65" spans="1:9" ht="94.5" customHeight="1">
      <c r="A65" s="251"/>
      <c r="B65" s="247"/>
      <c r="C65" s="271"/>
      <c r="D65" s="59" t="s">
        <v>1047</v>
      </c>
      <c r="E65" s="60">
        <v>1.25</v>
      </c>
      <c r="F65" s="229" t="s">
        <v>1485</v>
      </c>
      <c r="G65" s="61" t="s">
        <v>1044</v>
      </c>
      <c r="H65" s="4"/>
      <c r="I65" s="4"/>
    </row>
    <row r="66" spans="1:9" ht="101.25" customHeight="1">
      <c r="A66" s="251"/>
      <c r="B66" s="247"/>
      <c r="C66" s="271"/>
      <c r="D66" s="59" t="s">
        <v>1048</v>
      </c>
      <c r="E66" s="60">
        <v>1.5</v>
      </c>
      <c r="F66" s="229" t="s">
        <v>1485</v>
      </c>
      <c r="G66" s="61" t="s">
        <v>1044</v>
      </c>
      <c r="H66" s="4"/>
      <c r="I66" s="4"/>
    </row>
    <row r="67" spans="1:9" ht="33" customHeight="1">
      <c r="A67" s="251"/>
      <c r="B67" s="247"/>
      <c r="C67" s="271"/>
      <c r="D67" s="93" t="s">
        <v>1382</v>
      </c>
      <c r="E67" s="103">
        <v>1</v>
      </c>
      <c r="F67" s="229" t="s">
        <v>1344</v>
      </c>
      <c r="G67" s="25" t="s">
        <v>92</v>
      </c>
      <c r="H67" s="4"/>
      <c r="I67" s="4"/>
    </row>
    <row r="68" spans="1:9" ht="33" customHeight="1">
      <c r="A68" s="251"/>
      <c r="B68" s="247"/>
      <c r="C68" s="271"/>
      <c r="D68" s="70" t="s">
        <v>1311</v>
      </c>
      <c r="E68" s="9">
        <v>2</v>
      </c>
      <c r="F68" s="229" t="s">
        <v>1418</v>
      </c>
      <c r="G68" s="25" t="s">
        <v>92</v>
      </c>
      <c r="H68" s="4"/>
      <c r="I68" s="4"/>
    </row>
    <row r="69" spans="1:9">
      <c r="A69" s="251"/>
      <c r="B69" s="247"/>
      <c r="C69" s="8" t="s">
        <v>12</v>
      </c>
      <c r="D69" s="8"/>
      <c r="E69" s="111">
        <f>SUM(E56:E68)</f>
        <v>30.95</v>
      </c>
      <c r="F69" s="229"/>
      <c r="G69" s="229"/>
      <c r="H69" s="4"/>
      <c r="I69" s="4"/>
    </row>
    <row r="70" spans="1:9" ht="73.5" customHeight="1">
      <c r="A70" s="1"/>
      <c r="B70" s="1"/>
      <c r="C70" s="266" t="s">
        <v>662</v>
      </c>
      <c r="D70" s="229" t="s">
        <v>656</v>
      </c>
      <c r="E70" s="9">
        <v>0.8</v>
      </c>
      <c r="F70" s="229" t="s">
        <v>1426</v>
      </c>
      <c r="G70" s="229" t="s">
        <v>657</v>
      </c>
      <c r="H70" s="5" t="s">
        <v>1426</v>
      </c>
      <c r="I70" s="115" t="s">
        <v>1398</v>
      </c>
    </row>
    <row r="71" spans="1:9" ht="73.5" customHeight="1">
      <c r="A71" s="1"/>
      <c r="B71" s="1"/>
      <c r="C71" s="266"/>
      <c r="D71" s="229" t="s">
        <v>661</v>
      </c>
      <c r="E71" s="9">
        <v>0.75</v>
      </c>
      <c r="F71" s="229" t="s">
        <v>1426</v>
      </c>
      <c r="G71" s="229" t="s">
        <v>657</v>
      </c>
      <c r="H71" s="5" t="s">
        <v>1426</v>
      </c>
      <c r="I71" s="115" t="s">
        <v>1398</v>
      </c>
    </row>
    <row r="72" spans="1:9" ht="73.5" customHeight="1">
      <c r="A72" s="1"/>
      <c r="B72" s="1"/>
      <c r="C72" s="266"/>
      <c r="D72" s="229" t="s">
        <v>658</v>
      </c>
      <c r="E72" s="9">
        <v>0.75</v>
      </c>
      <c r="F72" s="229" t="s">
        <v>1426</v>
      </c>
      <c r="G72" s="229" t="s">
        <v>657</v>
      </c>
      <c r="H72" s="5" t="s">
        <v>1426</v>
      </c>
      <c r="I72" s="115" t="s">
        <v>1398</v>
      </c>
    </row>
    <row r="73" spans="1:9" ht="73.5" customHeight="1">
      <c r="A73" s="1"/>
      <c r="B73" s="1"/>
      <c r="C73" s="266"/>
      <c r="D73" s="229" t="s">
        <v>659</v>
      </c>
      <c r="E73" s="9">
        <v>0.1</v>
      </c>
      <c r="F73" s="229" t="s">
        <v>1426</v>
      </c>
      <c r="G73" s="229" t="s">
        <v>657</v>
      </c>
      <c r="H73" s="5" t="s">
        <v>1426</v>
      </c>
      <c r="I73" s="115" t="s">
        <v>1398</v>
      </c>
    </row>
    <row r="74" spans="1:9" ht="73.5" customHeight="1">
      <c r="A74" s="1"/>
      <c r="B74" s="1"/>
      <c r="C74" s="266"/>
      <c r="D74" s="229" t="s">
        <v>1547</v>
      </c>
      <c r="E74" s="36">
        <v>8</v>
      </c>
      <c r="F74" s="78" t="s">
        <v>1533</v>
      </c>
      <c r="G74" s="232" t="s">
        <v>1521</v>
      </c>
      <c r="H74" s="122"/>
      <c r="I74" s="114"/>
    </row>
    <row r="75" spans="1:9" ht="73.5" customHeight="1">
      <c r="A75" s="1"/>
      <c r="B75" s="1"/>
      <c r="C75" s="266"/>
      <c r="D75" s="229" t="s">
        <v>1566</v>
      </c>
      <c r="E75" s="36">
        <v>0.74</v>
      </c>
      <c r="F75" s="20" t="s">
        <v>1565</v>
      </c>
      <c r="G75" s="78" t="s">
        <v>1556</v>
      </c>
      <c r="H75" s="122"/>
      <c r="I75" s="114"/>
    </row>
    <row r="76" spans="1:9" ht="73.5" customHeight="1">
      <c r="A76" s="1"/>
      <c r="B76" s="1"/>
      <c r="C76" s="266"/>
      <c r="D76" s="189" t="s">
        <v>1585</v>
      </c>
      <c r="E76" s="9">
        <v>1.77</v>
      </c>
      <c r="F76" s="158" t="s">
        <v>1581</v>
      </c>
      <c r="G76" s="78" t="s">
        <v>1556</v>
      </c>
      <c r="H76" s="122"/>
      <c r="I76" s="114"/>
    </row>
    <row r="77" spans="1:9" ht="73.5" customHeight="1">
      <c r="A77" s="1"/>
      <c r="B77" s="1"/>
      <c r="C77" s="266"/>
      <c r="D77" s="189" t="s">
        <v>1602</v>
      </c>
      <c r="E77" s="9">
        <v>7</v>
      </c>
      <c r="F77" s="197" t="s">
        <v>1594</v>
      </c>
      <c r="G77" s="78" t="s">
        <v>1556</v>
      </c>
      <c r="H77" s="122"/>
      <c r="I77" s="114"/>
    </row>
    <row r="78" spans="1:9" ht="69" customHeight="1">
      <c r="A78" s="1"/>
      <c r="B78" s="1"/>
      <c r="C78" s="266"/>
      <c r="D78" s="196" t="s">
        <v>1604</v>
      </c>
      <c r="E78" s="9">
        <v>0.1</v>
      </c>
      <c r="F78" s="196" t="s">
        <v>1605</v>
      </c>
      <c r="G78" s="78" t="s">
        <v>1556</v>
      </c>
      <c r="H78" s="122"/>
      <c r="I78" s="114"/>
    </row>
    <row r="79" spans="1:9" ht="74.25" customHeight="1">
      <c r="A79" s="1"/>
      <c r="B79" s="1"/>
      <c r="C79" s="266"/>
      <c r="D79" s="196" t="s">
        <v>1606</v>
      </c>
      <c r="E79" s="9">
        <v>0.05</v>
      </c>
      <c r="F79" s="196" t="s">
        <v>1605</v>
      </c>
      <c r="G79" s="78" t="s">
        <v>1556</v>
      </c>
      <c r="H79" s="122"/>
      <c r="I79" s="114"/>
    </row>
    <row r="80" spans="1:9" ht="46.5" customHeight="1">
      <c r="A80" s="1"/>
      <c r="B80" s="1"/>
      <c r="C80" s="266"/>
      <c r="D80" s="196" t="s">
        <v>1608</v>
      </c>
      <c r="E80" s="9">
        <v>1.1100000000000001</v>
      </c>
      <c r="F80" s="196" t="s">
        <v>1607</v>
      </c>
      <c r="G80" s="78" t="s">
        <v>1556</v>
      </c>
      <c r="H80" s="122"/>
      <c r="I80" s="114"/>
    </row>
    <row r="81" spans="1:9" ht="52.5" customHeight="1">
      <c r="A81" s="1"/>
      <c r="B81" s="1"/>
      <c r="C81" s="266"/>
      <c r="D81" s="196" t="s">
        <v>1609</v>
      </c>
      <c r="E81" s="9">
        <v>3</v>
      </c>
      <c r="F81" s="196" t="s">
        <v>1607</v>
      </c>
      <c r="G81" s="78" t="s">
        <v>1556</v>
      </c>
      <c r="H81" s="122"/>
      <c r="I81" s="114"/>
    </row>
    <row r="82" spans="1:9" ht="52.5" customHeight="1">
      <c r="A82" s="1"/>
      <c r="B82" s="1"/>
      <c r="C82" s="266"/>
      <c r="D82" s="196" t="s">
        <v>1610</v>
      </c>
      <c r="E82" s="9">
        <v>4</v>
      </c>
      <c r="F82" s="196" t="s">
        <v>1607</v>
      </c>
      <c r="G82" s="78" t="s">
        <v>1556</v>
      </c>
      <c r="H82" s="122"/>
      <c r="I82" s="114"/>
    </row>
    <row r="83" spans="1:9" ht="49.5" customHeight="1">
      <c r="A83" s="1"/>
      <c r="B83" s="1"/>
      <c r="C83" s="266"/>
      <c r="D83" s="20" t="s">
        <v>1615</v>
      </c>
      <c r="E83" s="9">
        <v>25</v>
      </c>
      <c r="F83" s="189" t="s">
        <v>1613</v>
      </c>
      <c r="G83" s="78" t="s">
        <v>1556</v>
      </c>
      <c r="H83" s="122"/>
      <c r="I83" s="114"/>
    </row>
    <row r="84" spans="1:9" ht="55.5" customHeight="1">
      <c r="A84" s="1"/>
      <c r="B84" s="1"/>
      <c r="C84" s="266"/>
      <c r="D84" s="20" t="s">
        <v>1627</v>
      </c>
      <c r="E84" s="9">
        <v>0.1</v>
      </c>
      <c r="F84" s="20" t="s">
        <v>1624</v>
      </c>
      <c r="G84" s="42" t="s">
        <v>1556</v>
      </c>
      <c r="H84" s="122"/>
      <c r="I84" s="114"/>
    </row>
    <row r="85" spans="1:9" ht="51" customHeight="1">
      <c r="A85" s="1"/>
      <c r="B85" s="1"/>
      <c r="C85" s="266"/>
      <c r="D85" s="20" t="s">
        <v>1637</v>
      </c>
      <c r="E85" s="9">
        <v>20</v>
      </c>
      <c r="F85" s="196" t="s">
        <v>1630</v>
      </c>
      <c r="G85" s="42" t="s">
        <v>1556</v>
      </c>
      <c r="H85" s="122"/>
      <c r="I85" s="114"/>
    </row>
    <row r="86" spans="1:9" ht="51.75" customHeight="1">
      <c r="A86" s="1"/>
      <c r="B86" s="1"/>
      <c r="C86" s="266"/>
      <c r="D86" s="20" t="s">
        <v>1653</v>
      </c>
      <c r="E86" s="32">
        <v>2</v>
      </c>
      <c r="F86" s="20" t="s">
        <v>1651</v>
      </c>
      <c r="G86" s="42" t="s">
        <v>1556</v>
      </c>
      <c r="H86" s="122"/>
      <c r="I86" s="114"/>
    </row>
    <row r="87" spans="1:9" ht="51" customHeight="1">
      <c r="A87" s="1"/>
      <c r="B87" s="1"/>
      <c r="C87" s="266"/>
      <c r="D87" s="196" t="s">
        <v>1655</v>
      </c>
      <c r="E87" s="9">
        <v>3</v>
      </c>
      <c r="F87" s="29" t="s">
        <v>1654</v>
      </c>
      <c r="G87" s="42" t="s">
        <v>1556</v>
      </c>
      <c r="H87" s="122"/>
      <c r="I87" s="114"/>
    </row>
    <row r="88" spans="1:9" ht="47.25" customHeight="1">
      <c r="A88" s="1"/>
      <c r="B88" s="1"/>
      <c r="C88" s="266"/>
      <c r="D88" s="196" t="s">
        <v>1659</v>
      </c>
      <c r="E88" s="9">
        <v>3.5</v>
      </c>
      <c r="F88" s="29" t="s">
        <v>1654</v>
      </c>
      <c r="G88" s="42" t="s">
        <v>1556</v>
      </c>
      <c r="H88" s="122"/>
      <c r="I88" s="114"/>
    </row>
    <row r="89" spans="1:9" ht="45" customHeight="1">
      <c r="A89" s="1"/>
      <c r="B89" s="1"/>
      <c r="C89" s="266"/>
      <c r="D89" s="196" t="s">
        <v>1678</v>
      </c>
      <c r="E89" s="9">
        <v>4.5</v>
      </c>
      <c r="F89" s="29" t="s">
        <v>1666</v>
      </c>
      <c r="G89" s="42" t="s">
        <v>1556</v>
      </c>
      <c r="H89" s="122"/>
      <c r="I89" s="114"/>
    </row>
    <row r="90" spans="1:9" ht="45" customHeight="1">
      <c r="A90" s="1"/>
      <c r="B90" s="1"/>
      <c r="C90" s="266"/>
      <c r="D90" s="196" t="s">
        <v>1679</v>
      </c>
      <c r="E90" s="9">
        <v>3</v>
      </c>
      <c r="F90" s="29" t="s">
        <v>1666</v>
      </c>
      <c r="G90" s="42" t="s">
        <v>1556</v>
      </c>
      <c r="H90" s="122"/>
      <c r="I90" s="114"/>
    </row>
    <row r="91" spans="1:9" ht="45" customHeight="1">
      <c r="A91" s="1"/>
      <c r="B91" s="1"/>
      <c r="C91" s="266"/>
      <c r="D91" s="196" t="s">
        <v>1680</v>
      </c>
      <c r="E91" s="9">
        <v>44</v>
      </c>
      <c r="F91" s="29" t="s">
        <v>1666</v>
      </c>
      <c r="G91" s="42" t="s">
        <v>1556</v>
      </c>
      <c r="H91" s="122"/>
      <c r="I91" s="114"/>
    </row>
    <row r="92" spans="1:9" ht="45" customHeight="1">
      <c r="A92" s="1"/>
      <c r="B92" s="1"/>
      <c r="C92" s="266"/>
      <c r="D92" s="196" t="s">
        <v>1681</v>
      </c>
      <c r="E92" s="9">
        <v>4.5999999999999996</v>
      </c>
      <c r="F92" s="29" t="s">
        <v>1666</v>
      </c>
      <c r="G92" s="42" t="s">
        <v>1556</v>
      </c>
      <c r="H92" s="122"/>
      <c r="I92" s="114"/>
    </row>
    <row r="93" spans="1:9" ht="45" customHeight="1">
      <c r="A93" s="1"/>
      <c r="B93" s="1"/>
      <c r="C93" s="266"/>
      <c r="D93" s="196" t="s">
        <v>1682</v>
      </c>
      <c r="E93" s="9">
        <v>5</v>
      </c>
      <c r="F93" s="29" t="s">
        <v>1666</v>
      </c>
      <c r="G93" s="42" t="s">
        <v>1556</v>
      </c>
      <c r="H93" s="122"/>
      <c r="I93" s="114"/>
    </row>
    <row r="94" spans="1:9" ht="45" customHeight="1">
      <c r="A94" s="1"/>
      <c r="B94" s="1"/>
      <c r="C94" s="266"/>
      <c r="D94" s="196" t="s">
        <v>1683</v>
      </c>
      <c r="E94" s="9">
        <v>3</v>
      </c>
      <c r="F94" s="29" t="s">
        <v>1666</v>
      </c>
      <c r="G94" s="42" t="s">
        <v>1556</v>
      </c>
      <c r="H94" s="122"/>
      <c r="I94" s="114"/>
    </row>
    <row r="95" spans="1:9" ht="45" customHeight="1">
      <c r="A95" s="1"/>
      <c r="B95" s="1"/>
      <c r="C95" s="266"/>
      <c r="D95" s="196" t="s">
        <v>1684</v>
      </c>
      <c r="E95" s="9">
        <v>1.2</v>
      </c>
      <c r="F95" s="29" t="s">
        <v>1666</v>
      </c>
      <c r="G95" s="42" t="s">
        <v>1556</v>
      </c>
      <c r="H95" s="122"/>
      <c r="I95" s="114"/>
    </row>
    <row r="96" spans="1:9" ht="45" customHeight="1">
      <c r="A96" s="1"/>
      <c r="B96" s="1"/>
      <c r="C96" s="266"/>
      <c r="D96" s="196" t="s">
        <v>1685</v>
      </c>
      <c r="E96" s="9">
        <v>0.8</v>
      </c>
      <c r="F96" s="29" t="s">
        <v>1666</v>
      </c>
      <c r="G96" s="42" t="s">
        <v>1556</v>
      </c>
      <c r="H96" s="122"/>
      <c r="I96" s="114"/>
    </row>
    <row r="97" spans="1:9" ht="45" customHeight="1">
      <c r="A97" s="1"/>
      <c r="B97" s="1"/>
      <c r="C97" s="266"/>
      <c r="D97" s="196" t="s">
        <v>1702</v>
      </c>
      <c r="E97" s="9">
        <v>3.5</v>
      </c>
      <c r="F97" s="229" t="s">
        <v>1738</v>
      </c>
      <c r="G97" s="42" t="s">
        <v>1556</v>
      </c>
      <c r="H97" s="122"/>
      <c r="I97" s="114"/>
    </row>
    <row r="98" spans="1:9" ht="45" customHeight="1">
      <c r="A98" s="1"/>
      <c r="B98" s="1"/>
      <c r="C98" s="266"/>
      <c r="D98" s="20" t="s">
        <v>1856</v>
      </c>
      <c r="E98" s="9">
        <v>0.74</v>
      </c>
      <c r="F98" s="20" t="s">
        <v>1855</v>
      </c>
      <c r="G98" s="42" t="s">
        <v>1556</v>
      </c>
      <c r="H98" s="122"/>
      <c r="I98" s="114"/>
    </row>
    <row r="99" spans="1:9" ht="62.25" customHeight="1">
      <c r="A99" s="1"/>
      <c r="B99" s="1"/>
      <c r="C99" s="266"/>
      <c r="D99" s="229" t="s">
        <v>1870</v>
      </c>
      <c r="E99" s="9">
        <v>3</v>
      </c>
      <c r="F99" s="20" t="s">
        <v>1855</v>
      </c>
      <c r="G99" s="42" t="s">
        <v>1556</v>
      </c>
      <c r="H99" s="122"/>
      <c r="I99" s="114"/>
    </row>
    <row r="100" spans="1:9" ht="45.75" customHeight="1">
      <c r="A100" s="1"/>
      <c r="B100" s="1"/>
      <c r="C100" s="266"/>
      <c r="D100" s="202" t="s">
        <v>1724</v>
      </c>
      <c r="E100" s="9">
        <v>8.81</v>
      </c>
      <c r="F100" s="229" t="s">
        <v>1703</v>
      </c>
      <c r="G100" s="42" t="s">
        <v>1556</v>
      </c>
      <c r="H100" s="122"/>
      <c r="I100" s="114"/>
    </row>
    <row r="101" spans="1:9" ht="45.75" customHeight="1">
      <c r="A101" s="1"/>
      <c r="B101" s="1"/>
      <c r="C101" s="266"/>
      <c r="D101" s="202" t="s">
        <v>1725</v>
      </c>
      <c r="E101" s="9">
        <v>1.6</v>
      </c>
      <c r="F101" s="229" t="s">
        <v>1703</v>
      </c>
      <c r="G101" s="42" t="s">
        <v>1556</v>
      </c>
      <c r="H101" s="122"/>
      <c r="I101" s="114"/>
    </row>
    <row r="102" spans="1:9" ht="51.75" customHeight="1">
      <c r="A102" s="1"/>
      <c r="B102" s="1"/>
      <c r="C102" s="266"/>
      <c r="D102" s="202" t="s">
        <v>1731</v>
      </c>
      <c r="E102" s="9">
        <v>14.14</v>
      </c>
      <c r="F102" s="229" t="s">
        <v>1703</v>
      </c>
      <c r="G102" s="42" t="s">
        <v>1556</v>
      </c>
      <c r="H102" s="122"/>
      <c r="I102" s="114"/>
    </row>
    <row r="103" spans="1:9" ht="59.25" customHeight="1">
      <c r="A103" s="1"/>
      <c r="B103" s="1"/>
      <c r="C103" s="266"/>
      <c r="D103" s="202" t="s">
        <v>1732</v>
      </c>
      <c r="E103" s="9">
        <v>8.81</v>
      </c>
      <c r="F103" s="229" t="s">
        <v>1703</v>
      </c>
      <c r="G103" s="42" t="s">
        <v>1556</v>
      </c>
      <c r="H103" s="122"/>
      <c r="I103" s="114"/>
    </row>
    <row r="104" spans="1:9" ht="46.5" customHeight="1">
      <c r="A104" s="1"/>
      <c r="B104" s="1"/>
      <c r="C104" s="266"/>
      <c r="D104" s="202" t="s">
        <v>1735</v>
      </c>
      <c r="E104" s="9">
        <v>4.75</v>
      </c>
      <c r="F104" s="229" t="s">
        <v>1703</v>
      </c>
      <c r="G104" s="42" t="s">
        <v>1556</v>
      </c>
      <c r="H104" s="122"/>
      <c r="I104" s="114"/>
    </row>
    <row r="105" spans="1:9" ht="48.75" customHeight="1">
      <c r="A105" s="1"/>
      <c r="B105" s="1"/>
      <c r="C105" s="266"/>
      <c r="D105" s="202" t="s">
        <v>1736</v>
      </c>
      <c r="E105" s="9">
        <v>10.88</v>
      </c>
      <c r="F105" s="229" t="s">
        <v>1703</v>
      </c>
      <c r="G105" s="42" t="s">
        <v>1556</v>
      </c>
      <c r="H105" s="122"/>
      <c r="I105" s="114"/>
    </row>
    <row r="106" spans="1:9" ht="54.75" customHeight="1">
      <c r="A106" s="1"/>
      <c r="B106" s="1"/>
      <c r="C106" s="266"/>
      <c r="D106" s="202" t="s">
        <v>1737</v>
      </c>
      <c r="E106" s="9">
        <v>3.82</v>
      </c>
      <c r="F106" s="229" t="s">
        <v>1703</v>
      </c>
      <c r="G106" s="42" t="s">
        <v>1556</v>
      </c>
      <c r="H106" s="122"/>
      <c r="I106" s="114"/>
    </row>
    <row r="107" spans="1:9" ht="48" customHeight="1">
      <c r="A107" s="1"/>
      <c r="B107" s="1"/>
      <c r="C107" s="266"/>
      <c r="D107" s="202" t="s">
        <v>1739</v>
      </c>
      <c r="E107" s="9">
        <v>14.91</v>
      </c>
      <c r="F107" s="229" t="s">
        <v>1703</v>
      </c>
      <c r="G107" s="42" t="s">
        <v>1556</v>
      </c>
      <c r="H107" s="122"/>
      <c r="I107" s="114"/>
    </row>
    <row r="108" spans="1:9" ht="45.75" customHeight="1">
      <c r="A108" s="1"/>
      <c r="B108" s="1"/>
      <c r="C108" s="266"/>
      <c r="D108" s="202" t="s">
        <v>1743</v>
      </c>
      <c r="E108" s="9">
        <v>1.95</v>
      </c>
      <c r="F108" s="229" t="s">
        <v>1703</v>
      </c>
      <c r="G108" s="42" t="s">
        <v>1556</v>
      </c>
      <c r="H108" s="122"/>
      <c r="I108" s="114"/>
    </row>
    <row r="109" spans="1:9" ht="51" customHeight="1">
      <c r="A109" s="1"/>
      <c r="B109" s="1"/>
      <c r="C109" s="266"/>
      <c r="D109" s="202" t="s">
        <v>1744</v>
      </c>
      <c r="E109" s="9">
        <v>5</v>
      </c>
      <c r="F109" s="229" t="s">
        <v>1703</v>
      </c>
      <c r="G109" s="42" t="s">
        <v>1556</v>
      </c>
      <c r="H109" s="122"/>
      <c r="I109" s="114"/>
    </row>
    <row r="110" spans="1:9" ht="44.25" customHeight="1">
      <c r="A110" s="1"/>
      <c r="B110" s="1"/>
      <c r="C110" s="266"/>
      <c r="D110" s="202" t="s">
        <v>1748</v>
      </c>
      <c r="E110" s="9">
        <v>6</v>
      </c>
      <c r="F110" s="229" t="s">
        <v>1703</v>
      </c>
      <c r="G110" s="42" t="s">
        <v>1556</v>
      </c>
      <c r="H110" s="122"/>
      <c r="I110" s="114"/>
    </row>
    <row r="111" spans="1:9" ht="63" customHeight="1">
      <c r="A111" s="1"/>
      <c r="B111" s="1"/>
      <c r="C111" s="266"/>
      <c r="D111" s="202" t="s">
        <v>1755</v>
      </c>
      <c r="E111" s="9">
        <v>4.5</v>
      </c>
      <c r="F111" s="229" t="s">
        <v>1703</v>
      </c>
      <c r="G111" s="42" t="s">
        <v>1556</v>
      </c>
      <c r="H111" s="122"/>
      <c r="I111" s="114"/>
    </row>
    <row r="112" spans="1:9" ht="31.5" customHeight="1">
      <c r="A112" s="1"/>
      <c r="B112" s="1"/>
      <c r="C112" s="266"/>
      <c r="D112" s="202" t="s">
        <v>1759</v>
      </c>
      <c r="E112" s="9">
        <v>8</v>
      </c>
      <c r="F112" s="229" t="s">
        <v>1703</v>
      </c>
      <c r="G112" s="42" t="s">
        <v>1556</v>
      </c>
      <c r="H112" s="122"/>
      <c r="I112" s="114"/>
    </row>
    <row r="113" spans="1:9" ht="48" customHeight="1">
      <c r="A113" s="1"/>
      <c r="B113" s="1"/>
      <c r="C113" s="266"/>
      <c r="D113" s="202" t="s">
        <v>1763</v>
      </c>
      <c r="E113" s="9">
        <v>4.5</v>
      </c>
      <c r="F113" s="229" t="s">
        <v>1703</v>
      </c>
      <c r="G113" s="42" t="s">
        <v>1556</v>
      </c>
      <c r="H113" s="122"/>
      <c r="I113" s="114"/>
    </row>
    <row r="114" spans="1:9" ht="49.5" customHeight="1">
      <c r="A114" s="1"/>
      <c r="B114" s="1"/>
      <c r="C114" s="266"/>
      <c r="D114" s="202" t="s">
        <v>1766</v>
      </c>
      <c r="E114" s="9">
        <v>4.5</v>
      </c>
      <c r="F114" s="229" t="s">
        <v>1703</v>
      </c>
      <c r="G114" s="42" t="s">
        <v>1556</v>
      </c>
      <c r="H114" s="122"/>
      <c r="I114" s="114"/>
    </row>
    <row r="115" spans="1:9" ht="48.75" customHeight="1">
      <c r="A115" s="1"/>
      <c r="B115" s="1"/>
      <c r="C115" s="266"/>
      <c r="D115" s="202" t="s">
        <v>1770</v>
      </c>
      <c r="E115" s="9">
        <v>1.6</v>
      </c>
      <c r="F115" s="229" t="s">
        <v>1703</v>
      </c>
      <c r="G115" s="42" t="s">
        <v>1556</v>
      </c>
      <c r="H115" s="122"/>
      <c r="I115" s="114"/>
    </row>
    <row r="116" spans="1:9" ht="31.5" customHeight="1">
      <c r="A116" s="1"/>
      <c r="B116" s="1"/>
      <c r="C116" s="266"/>
      <c r="D116" s="202" t="s">
        <v>1774</v>
      </c>
      <c r="E116" s="9">
        <v>8</v>
      </c>
      <c r="F116" s="229" t="s">
        <v>1703</v>
      </c>
      <c r="G116" s="42" t="s">
        <v>1556</v>
      </c>
      <c r="H116" s="122"/>
      <c r="I116" s="114"/>
    </row>
    <row r="117" spans="1:9" ht="45.75" customHeight="1">
      <c r="A117" s="1"/>
      <c r="B117" s="1"/>
      <c r="C117" s="266"/>
      <c r="D117" s="202" t="s">
        <v>1778</v>
      </c>
      <c r="E117" s="9">
        <v>4.9000000000000004</v>
      </c>
      <c r="F117" s="229" t="s">
        <v>1703</v>
      </c>
      <c r="G117" s="42" t="s">
        <v>1556</v>
      </c>
      <c r="H117" s="122"/>
      <c r="I117" s="114"/>
    </row>
    <row r="118" spans="1:9" ht="46.5" customHeight="1">
      <c r="A118" s="1"/>
      <c r="B118" s="1"/>
      <c r="C118" s="266"/>
      <c r="D118" s="202" t="s">
        <v>1782</v>
      </c>
      <c r="E118" s="9">
        <v>10</v>
      </c>
      <c r="F118" s="229" t="s">
        <v>1703</v>
      </c>
      <c r="G118" s="42" t="s">
        <v>1556</v>
      </c>
      <c r="H118" s="122"/>
      <c r="I118" s="114"/>
    </row>
    <row r="119" spans="1:9" ht="50.25" customHeight="1">
      <c r="A119" s="1"/>
      <c r="B119" s="1"/>
      <c r="C119" s="266"/>
      <c r="D119" s="202" t="s">
        <v>1786</v>
      </c>
      <c r="E119" s="9">
        <v>4</v>
      </c>
      <c r="F119" s="229" t="s">
        <v>1703</v>
      </c>
      <c r="G119" s="42" t="s">
        <v>1556</v>
      </c>
      <c r="H119" s="122"/>
      <c r="I119" s="114"/>
    </row>
    <row r="120" spans="1:9" ht="45">
      <c r="A120" s="1"/>
      <c r="B120" s="1"/>
      <c r="C120" s="266"/>
      <c r="D120" s="202" t="s">
        <v>1790</v>
      </c>
      <c r="E120" s="9">
        <v>8</v>
      </c>
      <c r="F120" s="229" t="s">
        <v>1703</v>
      </c>
      <c r="G120" s="42" t="s">
        <v>1556</v>
      </c>
      <c r="H120" s="122"/>
      <c r="I120" s="114"/>
    </row>
    <row r="121" spans="1:9" ht="48.75" customHeight="1">
      <c r="A121" s="1"/>
      <c r="B121" s="1"/>
      <c r="C121" s="266"/>
      <c r="D121" s="202" t="s">
        <v>1794</v>
      </c>
      <c r="E121" s="9">
        <v>9</v>
      </c>
      <c r="F121" s="229" t="s">
        <v>1703</v>
      </c>
      <c r="G121" s="42" t="s">
        <v>1556</v>
      </c>
      <c r="H121" s="122"/>
      <c r="I121" s="114"/>
    </row>
    <row r="122" spans="1:9" ht="51.75" customHeight="1">
      <c r="A122" s="1"/>
      <c r="B122" s="1"/>
      <c r="C122" s="266"/>
      <c r="D122" s="202" t="s">
        <v>1798</v>
      </c>
      <c r="E122" s="9">
        <v>7</v>
      </c>
      <c r="F122" s="229" t="s">
        <v>1703</v>
      </c>
      <c r="G122" s="42" t="s">
        <v>1556</v>
      </c>
      <c r="H122" s="122"/>
      <c r="I122" s="114"/>
    </row>
    <row r="123" spans="1:9" ht="47.25" customHeight="1">
      <c r="A123" s="1"/>
      <c r="B123" s="1"/>
      <c r="C123" s="266"/>
      <c r="D123" s="202" t="s">
        <v>1802</v>
      </c>
      <c r="E123" s="9">
        <v>3</v>
      </c>
      <c r="F123" s="229" t="s">
        <v>1703</v>
      </c>
      <c r="G123" s="42" t="s">
        <v>1556</v>
      </c>
      <c r="H123" s="122"/>
      <c r="I123" s="114"/>
    </row>
    <row r="124" spans="1:9" ht="47.25" customHeight="1">
      <c r="A124" s="1"/>
      <c r="B124" s="1"/>
      <c r="C124" s="266"/>
      <c r="D124" s="202" t="s">
        <v>1806</v>
      </c>
      <c r="E124" s="9">
        <v>4</v>
      </c>
      <c r="F124" s="229" t="s">
        <v>1703</v>
      </c>
      <c r="G124" s="42" t="s">
        <v>1556</v>
      </c>
      <c r="H124" s="122"/>
      <c r="I124" s="114"/>
    </row>
    <row r="125" spans="1:9" ht="45.75" customHeight="1">
      <c r="A125" s="1"/>
      <c r="B125" s="1"/>
      <c r="C125" s="266"/>
      <c r="D125" s="202" t="s">
        <v>1839</v>
      </c>
      <c r="E125" s="9">
        <v>5</v>
      </c>
      <c r="F125" s="229" t="s">
        <v>1703</v>
      </c>
      <c r="G125" s="42" t="s">
        <v>1556</v>
      </c>
      <c r="H125" s="122"/>
      <c r="I125" s="114"/>
    </row>
    <row r="126" spans="1:9" ht="45">
      <c r="A126" s="1"/>
      <c r="B126" s="1"/>
      <c r="C126" s="266"/>
      <c r="D126" s="202" t="s">
        <v>1840</v>
      </c>
      <c r="E126" s="9">
        <v>5</v>
      </c>
      <c r="F126" s="229" t="s">
        <v>1703</v>
      </c>
      <c r="G126" s="42" t="s">
        <v>1556</v>
      </c>
      <c r="H126" s="122"/>
      <c r="I126" s="114"/>
    </row>
    <row r="127" spans="1:9" ht="42.75" customHeight="1">
      <c r="A127" s="1"/>
      <c r="B127" s="1"/>
      <c r="C127" s="266"/>
      <c r="D127" s="202" t="s">
        <v>1841</v>
      </c>
      <c r="E127" s="9">
        <v>5</v>
      </c>
      <c r="F127" s="229" t="s">
        <v>1703</v>
      </c>
      <c r="G127" s="42" t="s">
        <v>1556</v>
      </c>
      <c r="H127" s="122"/>
      <c r="I127" s="114"/>
    </row>
    <row r="128" spans="1:9" ht="54.75" customHeight="1">
      <c r="A128" s="1"/>
      <c r="B128" s="1"/>
      <c r="C128" s="266"/>
      <c r="D128" s="202" t="s">
        <v>1854</v>
      </c>
      <c r="E128" s="9">
        <v>13.4</v>
      </c>
      <c r="F128" s="229" t="s">
        <v>1703</v>
      </c>
      <c r="G128" s="42" t="s">
        <v>1556</v>
      </c>
      <c r="H128" s="122"/>
      <c r="I128" s="114"/>
    </row>
    <row r="129" spans="1:9" ht="64.5" customHeight="1">
      <c r="A129" s="1"/>
      <c r="B129" s="1"/>
      <c r="C129" s="266"/>
      <c r="D129" s="229" t="s">
        <v>1876</v>
      </c>
      <c r="E129" s="9">
        <v>1.57</v>
      </c>
      <c r="F129" s="229" t="s">
        <v>1875</v>
      </c>
      <c r="G129" s="42" t="s">
        <v>1556</v>
      </c>
      <c r="H129" s="122"/>
      <c r="I129" s="114"/>
    </row>
    <row r="130" spans="1:9" ht="54.75" customHeight="1">
      <c r="A130" s="1"/>
      <c r="B130" s="1"/>
      <c r="C130" s="266"/>
      <c r="D130" s="229" t="s">
        <v>1877</v>
      </c>
      <c r="E130" s="9">
        <v>20</v>
      </c>
      <c r="F130" s="229" t="s">
        <v>1875</v>
      </c>
      <c r="G130" s="42" t="s">
        <v>1556</v>
      </c>
      <c r="H130" s="122"/>
      <c r="I130" s="114"/>
    </row>
    <row r="131" spans="1:9" ht="31.5" customHeight="1">
      <c r="A131" s="1"/>
      <c r="B131" s="1"/>
      <c r="C131" s="266"/>
      <c r="D131" s="229" t="s">
        <v>1884</v>
      </c>
      <c r="E131" s="9">
        <v>5.91</v>
      </c>
      <c r="F131" s="229" t="s">
        <v>1883</v>
      </c>
      <c r="G131" s="42" t="s">
        <v>1556</v>
      </c>
      <c r="H131" s="122"/>
      <c r="I131" s="114"/>
    </row>
    <row r="132" spans="1:9" ht="31.5" customHeight="1">
      <c r="A132" s="1"/>
      <c r="B132" s="1"/>
      <c r="C132" s="266"/>
      <c r="D132" s="229" t="s">
        <v>1888</v>
      </c>
      <c r="E132" s="9">
        <v>1</v>
      </c>
      <c r="F132" s="229" t="s">
        <v>1883</v>
      </c>
      <c r="G132" s="42" t="s">
        <v>1556</v>
      </c>
      <c r="H132" s="122"/>
      <c r="I132" s="114"/>
    </row>
    <row r="133" spans="1:9" ht="31.5" customHeight="1">
      <c r="A133" s="1"/>
      <c r="B133" s="1"/>
      <c r="C133" s="266"/>
      <c r="D133" s="229" t="s">
        <v>1890</v>
      </c>
      <c r="E133" s="9">
        <v>2</v>
      </c>
      <c r="F133" s="229" t="s">
        <v>1883</v>
      </c>
      <c r="G133" s="42" t="s">
        <v>1556</v>
      </c>
      <c r="H133" s="122"/>
      <c r="I133" s="114"/>
    </row>
    <row r="134" spans="1:9" ht="31.5" customHeight="1">
      <c r="A134" s="1"/>
      <c r="B134" s="1"/>
      <c r="C134" s="269" t="s">
        <v>1925</v>
      </c>
      <c r="D134" s="230" t="s">
        <v>1894</v>
      </c>
      <c r="E134" s="9">
        <v>28.2</v>
      </c>
      <c r="F134" s="272" t="s">
        <v>1919</v>
      </c>
      <c r="G134" s="271" t="s">
        <v>1504</v>
      </c>
      <c r="H134" s="122"/>
      <c r="I134" s="114"/>
    </row>
    <row r="135" spans="1:9" ht="31.5" customHeight="1">
      <c r="A135" s="1"/>
      <c r="B135" s="1"/>
      <c r="C135" s="269"/>
      <c r="D135" s="230" t="s">
        <v>1896</v>
      </c>
      <c r="E135" s="9">
        <v>38.200000000000003</v>
      </c>
      <c r="F135" s="272"/>
      <c r="G135" s="271"/>
      <c r="H135" s="122"/>
      <c r="I135" s="114"/>
    </row>
    <row r="136" spans="1:9" ht="31.5" customHeight="1">
      <c r="A136" s="1"/>
      <c r="B136" s="1"/>
      <c r="C136" s="271" t="s">
        <v>1931</v>
      </c>
      <c r="D136" s="230" t="s">
        <v>1914</v>
      </c>
      <c r="E136" s="9">
        <v>6</v>
      </c>
      <c r="F136" s="272" t="s">
        <v>1919</v>
      </c>
      <c r="G136" s="271" t="s">
        <v>1504</v>
      </c>
      <c r="H136" s="122"/>
      <c r="I136" s="114"/>
    </row>
    <row r="137" spans="1:9" ht="31.5" customHeight="1">
      <c r="A137" s="1"/>
      <c r="B137" s="1"/>
      <c r="C137" s="271"/>
      <c r="D137" s="230" t="s">
        <v>1915</v>
      </c>
      <c r="E137" s="9"/>
      <c r="F137" s="272"/>
      <c r="G137" s="271"/>
      <c r="H137" s="122"/>
      <c r="I137" s="114"/>
    </row>
    <row r="138" spans="1:9" ht="48" customHeight="1">
      <c r="A138" s="1"/>
      <c r="B138" s="1"/>
      <c r="C138" s="271"/>
      <c r="D138" s="230" t="s">
        <v>1896</v>
      </c>
      <c r="E138" s="9">
        <v>24.5</v>
      </c>
      <c r="F138" s="272"/>
      <c r="G138" s="271"/>
      <c r="H138" s="122"/>
      <c r="I138" s="114"/>
    </row>
    <row r="139" spans="1:9" ht="46.5" customHeight="1">
      <c r="A139" s="1"/>
      <c r="B139" s="1"/>
      <c r="C139" s="269" t="s">
        <v>1932</v>
      </c>
      <c r="D139" s="230" t="s">
        <v>1916</v>
      </c>
      <c r="E139" s="9">
        <v>300</v>
      </c>
      <c r="F139" s="75" t="s">
        <v>1919</v>
      </c>
      <c r="G139" s="229" t="s">
        <v>1504</v>
      </c>
      <c r="H139" s="122"/>
      <c r="I139" s="114"/>
    </row>
    <row r="140" spans="1:9" ht="46.5" customHeight="1">
      <c r="A140" s="1"/>
      <c r="B140" s="1"/>
      <c r="C140" s="269"/>
      <c r="D140" s="230" t="s">
        <v>1917</v>
      </c>
      <c r="E140" s="9">
        <v>586</v>
      </c>
      <c r="F140" s="75" t="s">
        <v>1924</v>
      </c>
      <c r="G140" s="229" t="s">
        <v>1504</v>
      </c>
      <c r="H140" s="122"/>
      <c r="I140" s="114"/>
    </row>
    <row r="141" spans="1:9" ht="24" customHeight="1">
      <c r="A141" s="1"/>
      <c r="B141" s="1"/>
      <c r="C141" s="229" t="s">
        <v>12</v>
      </c>
      <c r="D141" s="230"/>
      <c r="E141" s="9">
        <f>SUM(E70:E140)</f>
        <v>1358.56</v>
      </c>
      <c r="F141" s="75"/>
      <c r="G141" s="229"/>
      <c r="H141" s="122"/>
      <c r="I141" s="114"/>
    </row>
    <row r="142" spans="1:9" ht="27" customHeight="1">
      <c r="A142" s="1"/>
      <c r="B142" s="1"/>
      <c r="C142" s="9" t="s">
        <v>150</v>
      </c>
      <c r="D142" s="229"/>
      <c r="E142" s="108">
        <f>E141+E69+E55+E52+E44+E36+E29+E18+E11</f>
        <v>1508.8000000000004</v>
      </c>
      <c r="F142" s="229"/>
      <c r="G142" s="79"/>
    </row>
    <row r="143" spans="1:9">
      <c r="B143" t="s">
        <v>1319</v>
      </c>
      <c r="D143"/>
      <c r="E143" s="159"/>
    </row>
    <row r="144" spans="1:9">
      <c r="G144" s="159"/>
    </row>
    <row r="145" spans="4:6">
      <c r="D145"/>
      <c r="F145"/>
    </row>
    <row r="146" spans="4:6">
      <c r="D146"/>
      <c r="F146"/>
    </row>
    <row r="147" spans="4:6">
      <c r="D147"/>
      <c r="F147"/>
    </row>
    <row r="148" spans="4:6">
      <c r="D148"/>
      <c r="F148"/>
    </row>
    <row r="149" spans="4:6">
      <c r="D149"/>
      <c r="F149"/>
    </row>
  </sheetData>
  <mergeCells count="38">
    <mergeCell ref="C19:C25"/>
    <mergeCell ref="C56:C63"/>
    <mergeCell ref="C39:C43"/>
    <mergeCell ref="C26:C28"/>
    <mergeCell ref="C45:C51"/>
    <mergeCell ref="A1:G1"/>
    <mergeCell ref="A2:G2"/>
    <mergeCell ref="A4:A11"/>
    <mergeCell ref="B4:B11"/>
    <mergeCell ref="A12:A18"/>
    <mergeCell ref="B12:B18"/>
    <mergeCell ref="C14:C17"/>
    <mergeCell ref="C4:C10"/>
    <mergeCell ref="C12:C13"/>
    <mergeCell ref="A56:A69"/>
    <mergeCell ref="A19:A29"/>
    <mergeCell ref="B19:B29"/>
    <mergeCell ref="A30:A36"/>
    <mergeCell ref="B30:B36"/>
    <mergeCell ref="A37:A44"/>
    <mergeCell ref="B37:B44"/>
    <mergeCell ref="A45:A52"/>
    <mergeCell ref="B45:B52"/>
    <mergeCell ref="A53:A55"/>
    <mergeCell ref="B53:B55"/>
    <mergeCell ref="B56:B69"/>
    <mergeCell ref="C53:C54"/>
    <mergeCell ref="C136:C138"/>
    <mergeCell ref="C139:C140"/>
    <mergeCell ref="C134:C135"/>
    <mergeCell ref="C30:C31"/>
    <mergeCell ref="C32:C35"/>
    <mergeCell ref="C70:C133"/>
    <mergeCell ref="F134:F135"/>
    <mergeCell ref="G134:G135"/>
    <mergeCell ref="F136:F138"/>
    <mergeCell ref="G136:G138"/>
    <mergeCell ref="C64:C68"/>
  </mergeCells>
  <pageMargins left="0.56999999999999995" right="0.27" top="0.49" bottom="0.4" header="0.3" footer="0.3"/>
  <pageSetup paperSize="9"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88"/>
  <sheetViews>
    <sheetView topLeftCell="A75" workbookViewId="0">
      <selection activeCell="E89" sqref="E89"/>
    </sheetView>
  </sheetViews>
  <sheetFormatPr defaultRowHeight="15"/>
  <cols>
    <col min="1" max="1" width="6.28515625" customWidth="1"/>
    <col min="2" max="2" width="13.5703125" customWidth="1"/>
    <col min="3" max="3" width="18.140625" customWidth="1"/>
    <col min="4" max="4" width="45" style="6" customWidth="1"/>
    <col min="5" max="5" width="9.140625" customWidth="1"/>
    <col min="6" max="6" width="24.5703125" style="6" customWidth="1"/>
    <col min="7" max="7" width="20.5703125" customWidth="1"/>
    <col min="8" max="8" width="34.140625" customWidth="1"/>
    <col min="9" max="9" width="21.28515625" customWidth="1"/>
    <col min="10" max="10" width="15.28515625" customWidth="1"/>
  </cols>
  <sheetData>
    <row r="1" spans="1:9" ht="21">
      <c r="A1" s="255" t="s">
        <v>55</v>
      </c>
      <c r="B1" s="256"/>
      <c r="C1" s="256"/>
      <c r="D1" s="256"/>
      <c r="E1" s="256"/>
      <c r="F1" s="256"/>
      <c r="G1" s="256"/>
    </row>
    <row r="2" spans="1:9" ht="15.75">
      <c r="A2" s="257" t="s">
        <v>1937</v>
      </c>
      <c r="B2" s="257"/>
      <c r="C2" s="257"/>
      <c r="D2" s="257"/>
      <c r="E2" s="257"/>
      <c r="F2" s="257"/>
      <c r="G2" s="257"/>
    </row>
    <row r="3" spans="1:9" s="7" customFormat="1" ht="45" customHeight="1">
      <c r="A3" s="3" t="s">
        <v>0</v>
      </c>
      <c r="B3" s="3" t="s">
        <v>10</v>
      </c>
      <c r="C3" s="3" t="s">
        <v>11</v>
      </c>
      <c r="D3" s="3" t="s">
        <v>54</v>
      </c>
      <c r="E3" s="3" t="s">
        <v>59</v>
      </c>
      <c r="F3" s="3" t="s">
        <v>1473</v>
      </c>
      <c r="G3" s="3" t="s">
        <v>57</v>
      </c>
      <c r="H3" s="6"/>
      <c r="I3" s="6"/>
    </row>
    <row r="4" spans="1:9" ht="60">
      <c r="A4" s="251" t="s">
        <v>1938</v>
      </c>
      <c r="B4" s="247" t="s">
        <v>321</v>
      </c>
      <c r="C4" s="247" t="s">
        <v>532</v>
      </c>
      <c r="D4" s="225" t="s">
        <v>770</v>
      </c>
      <c r="E4" s="36">
        <v>2</v>
      </c>
      <c r="F4" s="6" t="s">
        <v>1403</v>
      </c>
      <c r="G4" s="225" t="s">
        <v>1479</v>
      </c>
      <c r="H4" s="6" t="s">
        <v>1403</v>
      </c>
      <c r="I4" s="7" t="s">
        <v>1398</v>
      </c>
    </row>
    <row r="5" spans="1:9" ht="60">
      <c r="A5" s="251"/>
      <c r="B5" s="247"/>
      <c r="C5" s="247"/>
      <c r="D5" s="225" t="s">
        <v>771</v>
      </c>
      <c r="E5" s="36">
        <v>2</v>
      </c>
      <c r="F5" s="6" t="s">
        <v>1403</v>
      </c>
      <c r="G5" s="225" t="s">
        <v>1479</v>
      </c>
      <c r="H5" s="6" t="s">
        <v>1403</v>
      </c>
      <c r="I5" s="7" t="s">
        <v>1398</v>
      </c>
    </row>
    <row r="6" spans="1:9" ht="90">
      <c r="A6" s="251"/>
      <c r="B6" s="247"/>
      <c r="C6" s="247"/>
      <c r="D6" s="43" t="s">
        <v>938</v>
      </c>
      <c r="E6" s="49">
        <v>0.2</v>
      </c>
      <c r="F6" s="4" t="s">
        <v>1485</v>
      </c>
      <c r="G6" s="44" t="s">
        <v>958</v>
      </c>
      <c r="H6" s="4"/>
      <c r="I6" s="4"/>
    </row>
    <row r="7" spans="1:9" ht="90">
      <c r="A7" s="251"/>
      <c r="B7" s="247"/>
      <c r="C7" s="247"/>
      <c r="D7" s="35" t="s">
        <v>948</v>
      </c>
      <c r="E7" s="50">
        <v>0.5</v>
      </c>
      <c r="F7" s="4" t="s">
        <v>1485</v>
      </c>
      <c r="G7" s="44" t="s">
        <v>958</v>
      </c>
      <c r="H7" s="4"/>
      <c r="I7" s="4"/>
    </row>
    <row r="8" spans="1:9">
      <c r="A8" s="251"/>
      <c r="B8" s="247"/>
      <c r="C8" s="8" t="s">
        <v>12</v>
      </c>
      <c r="D8" s="225"/>
      <c r="E8" s="101">
        <f>SUM(E4:E7)</f>
        <v>4.7</v>
      </c>
      <c r="F8" s="225"/>
      <c r="G8" s="225"/>
      <c r="H8" s="4"/>
      <c r="I8" s="4"/>
    </row>
    <row r="9" spans="1:9" ht="90">
      <c r="A9" s="251" t="s">
        <v>1939</v>
      </c>
      <c r="B9" s="247" t="s">
        <v>322</v>
      </c>
      <c r="C9" s="247" t="s">
        <v>532</v>
      </c>
      <c r="D9" s="41" t="s">
        <v>910</v>
      </c>
      <c r="E9" s="46">
        <v>2</v>
      </c>
      <c r="F9" s="4" t="s">
        <v>1485</v>
      </c>
      <c r="G9" s="44" t="s">
        <v>958</v>
      </c>
      <c r="H9" s="4"/>
      <c r="I9" s="4"/>
    </row>
    <row r="10" spans="1:9" ht="90">
      <c r="A10" s="251"/>
      <c r="B10" s="247"/>
      <c r="C10" s="247"/>
      <c r="D10" s="42" t="s">
        <v>911</v>
      </c>
      <c r="E10" s="46">
        <v>2</v>
      </c>
      <c r="F10" s="4" t="s">
        <v>1485</v>
      </c>
      <c r="G10" s="44" t="s">
        <v>958</v>
      </c>
      <c r="H10" s="4"/>
      <c r="I10" s="4"/>
    </row>
    <row r="11" spans="1:9" ht="90">
      <c r="A11" s="251"/>
      <c r="B11" s="247"/>
      <c r="C11" s="247"/>
      <c r="D11" s="34" t="s">
        <v>1106</v>
      </c>
      <c r="E11" s="64">
        <v>0.4</v>
      </c>
      <c r="F11" s="4" t="s">
        <v>1485</v>
      </c>
      <c r="G11" s="33" t="s">
        <v>1078</v>
      </c>
      <c r="H11" s="4"/>
    </row>
    <row r="12" spans="1:9" ht="45">
      <c r="A12" s="251"/>
      <c r="B12" s="247"/>
      <c r="C12" s="247"/>
      <c r="D12" s="75" t="s">
        <v>1313</v>
      </c>
      <c r="E12" s="9">
        <v>2</v>
      </c>
      <c r="F12" s="225" t="s">
        <v>1418</v>
      </c>
      <c r="G12" s="25" t="s">
        <v>92</v>
      </c>
      <c r="H12" s="4"/>
    </row>
    <row r="13" spans="1:9" ht="90">
      <c r="A13" s="251"/>
      <c r="B13" s="247"/>
      <c r="C13" s="247"/>
      <c r="D13" s="59" t="s">
        <v>1058</v>
      </c>
      <c r="E13" s="60">
        <v>1.5</v>
      </c>
      <c r="F13" s="4" t="s">
        <v>1485</v>
      </c>
      <c r="G13" s="61" t="s">
        <v>1044</v>
      </c>
      <c r="H13" s="4"/>
    </row>
    <row r="14" spans="1:9">
      <c r="A14" s="251"/>
      <c r="B14" s="247"/>
      <c r="C14" s="221" t="s">
        <v>12</v>
      </c>
      <c r="D14" s="225"/>
      <c r="E14" s="92">
        <f>SUM(E9:E13)</f>
        <v>7.9</v>
      </c>
      <c r="F14" s="13"/>
      <c r="G14" s="13"/>
      <c r="H14" s="4"/>
    </row>
    <row r="15" spans="1:9" ht="30">
      <c r="A15" s="251" t="s">
        <v>1940</v>
      </c>
      <c r="B15" s="247" t="s">
        <v>332</v>
      </c>
      <c r="C15" s="27" t="s">
        <v>332</v>
      </c>
      <c r="D15" s="37" t="s">
        <v>1167</v>
      </c>
      <c r="E15" s="64">
        <v>0.2</v>
      </c>
      <c r="F15" s="225" t="s">
        <v>485</v>
      </c>
      <c r="G15" s="225" t="s">
        <v>1503</v>
      </c>
      <c r="H15" s="4"/>
    </row>
    <row r="16" spans="1:9" ht="24" customHeight="1">
      <c r="A16" s="251"/>
      <c r="B16" s="247"/>
      <c r="C16" s="8" t="s">
        <v>12</v>
      </c>
      <c r="D16" s="8"/>
      <c r="E16" s="111">
        <f>SUM(E15)</f>
        <v>0.2</v>
      </c>
      <c r="F16" s="225"/>
      <c r="G16" s="225"/>
      <c r="H16" s="4"/>
    </row>
    <row r="17" spans="1:9" ht="90">
      <c r="A17" s="251" t="s">
        <v>1941</v>
      </c>
      <c r="B17" s="247" t="s">
        <v>323</v>
      </c>
      <c r="C17" s="271" t="s">
        <v>323</v>
      </c>
      <c r="D17" s="34" t="s">
        <v>888</v>
      </c>
      <c r="E17" s="45">
        <v>16</v>
      </c>
      <c r="F17" s="4" t="s">
        <v>1485</v>
      </c>
      <c r="G17" s="44" t="s">
        <v>958</v>
      </c>
      <c r="H17" s="4" t="s">
        <v>1485</v>
      </c>
    </row>
    <row r="18" spans="1:9" ht="90">
      <c r="A18" s="251"/>
      <c r="B18" s="247"/>
      <c r="C18" s="271"/>
      <c r="D18" s="41" t="s">
        <v>908</v>
      </c>
      <c r="E18" s="46">
        <v>3</v>
      </c>
      <c r="F18" s="4" t="s">
        <v>1485</v>
      </c>
      <c r="G18" s="44" t="s">
        <v>958</v>
      </c>
      <c r="H18" s="4"/>
    </row>
    <row r="19" spans="1:9" ht="90">
      <c r="A19" s="251"/>
      <c r="B19" s="247"/>
      <c r="C19" s="271"/>
      <c r="D19" s="34" t="s">
        <v>963</v>
      </c>
      <c r="E19" s="46">
        <v>2</v>
      </c>
      <c r="F19" s="4" t="s">
        <v>1485</v>
      </c>
      <c r="G19" s="44" t="s">
        <v>958</v>
      </c>
      <c r="H19" s="4"/>
    </row>
    <row r="20" spans="1:9" ht="90">
      <c r="A20" s="251"/>
      <c r="B20" s="247"/>
      <c r="C20" s="271"/>
      <c r="D20" s="59" t="s">
        <v>1059</v>
      </c>
      <c r="E20" s="60">
        <v>1.5</v>
      </c>
      <c r="F20" s="6" t="s">
        <v>1485</v>
      </c>
      <c r="G20" s="61" t="s">
        <v>1044</v>
      </c>
      <c r="H20" s="4"/>
    </row>
    <row r="21" spans="1:9" ht="90">
      <c r="A21" s="251"/>
      <c r="B21" s="247"/>
      <c r="C21" s="271"/>
      <c r="D21" s="34" t="s">
        <v>1105</v>
      </c>
      <c r="E21" s="64">
        <v>0.4</v>
      </c>
      <c r="F21" s="225" t="s">
        <v>1485</v>
      </c>
      <c r="G21" s="225" t="s">
        <v>1078</v>
      </c>
      <c r="H21" s="4"/>
    </row>
    <row r="22" spans="1:9" ht="47.25">
      <c r="A22" s="251"/>
      <c r="B22" s="247"/>
      <c r="C22" s="271"/>
      <c r="D22" s="20" t="s">
        <v>1353</v>
      </c>
      <c r="E22" s="9">
        <v>2</v>
      </c>
      <c r="F22" s="33" t="s">
        <v>1344</v>
      </c>
      <c r="G22" s="25" t="s">
        <v>92</v>
      </c>
      <c r="H22" s="4"/>
    </row>
    <row r="23" spans="1:9" ht="30">
      <c r="A23" s="251"/>
      <c r="B23" s="247"/>
      <c r="C23" s="271"/>
      <c r="D23" s="37" t="s">
        <v>1183</v>
      </c>
      <c r="E23" s="9">
        <v>0.45</v>
      </c>
      <c r="F23" s="225" t="s">
        <v>1116</v>
      </c>
      <c r="G23" s="225" t="s">
        <v>783</v>
      </c>
      <c r="H23" s="4"/>
    </row>
    <row r="24" spans="1:9" ht="90">
      <c r="A24" s="251"/>
      <c r="B24" s="247"/>
      <c r="C24" s="271"/>
      <c r="D24" s="59" t="s">
        <v>1055</v>
      </c>
      <c r="E24" s="60">
        <v>1</v>
      </c>
      <c r="F24" s="4" t="s">
        <v>1485</v>
      </c>
      <c r="G24" s="61" t="s">
        <v>1044</v>
      </c>
      <c r="H24" s="4"/>
    </row>
    <row r="25" spans="1:9">
      <c r="A25" s="251"/>
      <c r="B25" s="247"/>
      <c r="C25" s="8" t="s">
        <v>12</v>
      </c>
      <c r="D25" s="8"/>
      <c r="E25" s="87">
        <f>SUM(E17:E24)</f>
        <v>26.349999999999998</v>
      </c>
      <c r="F25" s="225"/>
      <c r="G25" s="225"/>
      <c r="H25" s="4"/>
      <c r="I25" s="4"/>
    </row>
    <row r="26" spans="1:9" ht="90">
      <c r="A26" s="251" t="s">
        <v>1942</v>
      </c>
      <c r="B26" s="247" t="s">
        <v>324</v>
      </c>
      <c r="C26" s="271" t="s">
        <v>533</v>
      </c>
      <c r="D26" s="34" t="s">
        <v>917</v>
      </c>
      <c r="E26" s="46">
        <v>2</v>
      </c>
      <c r="F26" s="4" t="s">
        <v>1485</v>
      </c>
      <c r="G26" s="44" t="s">
        <v>958</v>
      </c>
      <c r="H26" s="4"/>
      <c r="I26" s="4"/>
    </row>
    <row r="27" spans="1:9" ht="90">
      <c r="A27" s="251"/>
      <c r="B27" s="247"/>
      <c r="C27" s="271"/>
      <c r="D27" s="59" t="s">
        <v>1056</v>
      </c>
      <c r="E27" s="60">
        <v>1</v>
      </c>
      <c r="F27" s="4" t="s">
        <v>1485</v>
      </c>
      <c r="G27" s="61" t="s">
        <v>1044</v>
      </c>
      <c r="H27" s="4"/>
      <c r="I27" s="4"/>
    </row>
    <row r="28" spans="1:9" ht="30">
      <c r="A28" s="251"/>
      <c r="B28" s="247"/>
      <c r="C28" s="247" t="s">
        <v>529</v>
      </c>
      <c r="D28" s="37" t="s">
        <v>1168</v>
      </c>
      <c r="E28" s="64">
        <v>0.1</v>
      </c>
      <c r="F28" s="225" t="s">
        <v>485</v>
      </c>
      <c r="G28" s="225" t="s">
        <v>1503</v>
      </c>
      <c r="H28" s="4"/>
      <c r="I28" s="4"/>
    </row>
    <row r="29" spans="1:9" ht="30">
      <c r="A29" s="251"/>
      <c r="B29" s="247"/>
      <c r="C29" s="247"/>
      <c r="D29" s="75" t="s">
        <v>1316</v>
      </c>
      <c r="E29" s="160">
        <v>2</v>
      </c>
      <c r="F29" s="225" t="s">
        <v>1418</v>
      </c>
      <c r="G29" s="25" t="s">
        <v>92</v>
      </c>
      <c r="H29" s="4"/>
      <c r="I29" s="4"/>
    </row>
    <row r="30" spans="1:9" ht="75">
      <c r="A30" s="251"/>
      <c r="B30" s="247"/>
      <c r="C30" s="247"/>
      <c r="D30" s="225" t="s">
        <v>637</v>
      </c>
      <c r="E30" s="9">
        <v>4</v>
      </c>
      <c r="F30" s="225" t="s">
        <v>1426</v>
      </c>
      <c r="G30" s="225" t="s">
        <v>636</v>
      </c>
      <c r="H30" s="225" t="s">
        <v>1426</v>
      </c>
      <c r="I30" s="115" t="s">
        <v>1398</v>
      </c>
    </row>
    <row r="31" spans="1:9" ht="75">
      <c r="A31" s="251"/>
      <c r="B31" s="247"/>
      <c r="C31" s="247"/>
      <c r="D31" s="225" t="s">
        <v>639</v>
      </c>
      <c r="E31" s="9">
        <v>4</v>
      </c>
      <c r="F31" s="225" t="s">
        <v>1426</v>
      </c>
      <c r="G31" s="225" t="s">
        <v>487</v>
      </c>
      <c r="H31" s="225" t="s">
        <v>1426</v>
      </c>
      <c r="I31" s="115" t="s">
        <v>1398</v>
      </c>
    </row>
    <row r="32" spans="1:9">
      <c r="A32" s="251"/>
      <c r="B32" s="247"/>
      <c r="C32" s="8" t="s">
        <v>12</v>
      </c>
      <c r="D32" s="225"/>
      <c r="E32" s="92">
        <f>SUM(E26:E31)</f>
        <v>13.1</v>
      </c>
      <c r="F32" s="225"/>
      <c r="G32" s="225"/>
      <c r="H32" s="4"/>
      <c r="I32" s="4"/>
    </row>
    <row r="33" spans="1:9" ht="90">
      <c r="A33" s="251" t="s">
        <v>1943</v>
      </c>
      <c r="B33" s="247" t="s">
        <v>325</v>
      </c>
      <c r="C33" s="271" t="s">
        <v>325</v>
      </c>
      <c r="D33" s="41" t="s">
        <v>913</v>
      </c>
      <c r="E33" s="46">
        <v>2.5</v>
      </c>
      <c r="F33" s="4" t="s">
        <v>1485</v>
      </c>
      <c r="G33" s="44" t="s">
        <v>958</v>
      </c>
      <c r="H33" s="4"/>
      <c r="I33" s="4"/>
    </row>
    <row r="34" spans="1:9" ht="31.5">
      <c r="A34" s="251"/>
      <c r="B34" s="247"/>
      <c r="C34" s="271"/>
      <c r="D34" s="93" t="s">
        <v>1384</v>
      </c>
      <c r="E34" s="161">
        <v>1.8</v>
      </c>
      <c r="F34" s="225" t="s">
        <v>1344</v>
      </c>
      <c r="G34" s="25" t="s">
        <v>92</v>
      </c>
      <c r="H34" s="4"/>
      <c r="I34" s="4"/>
    </row>
    <row r="35" spans="1:9">
      <c r="A35" s="251"/>
      <c r="B35" s="247"/>
      <c r="C35" s="8" t="s">
        <v>12</v>
      </c>
      <c r="D35" s="8"/>
      <c r="E35" s="87">
        <f>SUM(E33:E34)</f>
        <v>4.3</v>
      </c>
      <c r="F35" s="225"/>
      <c r="G35" s="225"/>
      <c r="H35" s="4"/>
      <c r="I35" s="4"/>
    </row>
    <row r="36" spans="1:9" ht="72" customHeight="1">
      <c r="A36" s="251" t="s">
        <v>1944</v>
      </c>
      <c r="B36" s="247" t="s">
        <v>326</v>
      </c>
      <c r="C36" s="271" t="s">
        <v>326</v>
      </c>
      <c r="D36" s="8" t="s">
        <v>644</v>
      </c>
      <c r="E36" s="225">
        <v>3</v>
      </c>
      <c r="F36" s="225" t="s">
        <v>1426</v>
      </c>
      <c r="G36" s="225" t="s">
        <v>636</v>
      </c>
      <c r="H36" s="225" t="s">
        <v>1426</v>
      </c>
      <c r="I36" s="115" t="s">
        <v>1398</v>
      </c>
    </row>
    <row r="37" spans="1:9" ht="72" customHeight="1">
      <c r="A37" s="251"/>
      <c r="B37" s="247"/>
      <c r="C37" s="271"/>
      <c r="D37" s="8" t="s">
        <v>645</v>
      </c>
      <c r="E37" s="225">
        <v>9.1300000000000008</v>
      </c>
      <c r="F37" s="225" t="s">
        <v>1426</v>
      </c>
      <c r="G37" s="225" t="s">
        <v>636</v>
      </c>
      <c r="H37" s="225" t="s">
        <v>1426</v>
      </c>
      <c r="I37" s="115" t="s">
        <v>1398</v>
      </c>
    </row>
    <row r="38" spans="1:9" ht="72" customHeight="1">
      <c r="A38" s="251"/>
      <c r="B38" s="247"/>
      <c r="C38" s="271"/>
      <c r="D38" s="8" t="s">
        <v>646</v>
      </c>
      <c r="E38" s="225">
        <v>2.5</v>
      </c>
      <c r="F38" s="225" t="s">
        <v>1426</v>
      </c>
      <c r="G38" s="225" t="s">
        <v>636</v>
      </c>
      <c r="H38" s="225" t="s">
        <v>1426</v>
      </c>
      <c r="I38" s="115" t="s">
        <v>1398</v>
      </c>
    </row>
    <row r="39" spans="1:9" ht="72" customHeight="1">
      <c r="A39" s="251"/>
      <c r="B39" s="247"/>
      <c r="C39" s="271"/>
      <c r="D39" s="8" t="s">
        <v>647</v>
      </c>
      <c r="E39" s="225">
        <v>0.5</v>
      </c>
      <c r="F39" s="225" t="s">
        <v>1426</v>
      </c>
      <c r="G39" s="225" t="s">
        <v>636</v>
      </c>
      <c r="H39" s="225" t="s">
        <v>1426</v>
      </c>
      <c r="I39" s="115" t="s">
        <v>1398</v>
      </c>
    </row>
    <row r="40" spans="1:9" ht="90">
      <c r="A40" s="251"/>
      <c r="B40" s="247"/>
      <c r="C40" s="271"/>
      <c r="D40" s="43" t="s">
        <v>937</v>
      </c>
      <c r="E40" s="49">
        <v>0.2</v>
      </c>
      <c r="F40" s="4" t="s">
        <v>1485</v>
      </c>
      <c r="G40" s="44" t="s">
        <v>958</v>
      </c>
      <c r="H40" s="4"/>
      <c r="I40" s="4"/>
    </row>
    <row r="41" spans="1:9" ht="90">
      <c r="A41" s="251"/>
      <c r="B41" s="247"/>
      <c r="C41" s="271"/>
      <c r="D41" s="34" t="s">
        <v>949</v>
      </c>
      <c r="E41" s="46">
        <v>2</v>
      </c>
      <c r="F41" s="4" t="s">
        <v>1485</v>
      </c>
      <c r="G41" s="44" t="s">
        <v>958</v>
      </c>
      <c r="H41" s="4"/>
      <c r="I41" s="4"/>
    </row>
    <row r="42" spans="1:9" ht="30">
      <c r="A42" s="251"/>
      <c r="B42" s="247"/>
      <c r="C42" s="271"/>
      <c r="D42" s="37" t="s">
        <v>1184</v>
      </c>
      <c r="E42" s="1">
        <v>0.45</v>
      </c>
      <c r="F42" s="225" t="s">
        <v>1116</v>
      </c>
      <c r="G42" s="225" t="s">
        <v>783</v>
      </c>
      <c r="H42" s="4"/>
      <c r="I42" s="4"/>
    </row>
    <row r="43" spans="1:9" ht="60">
      <c r="A43" s="251"/>
      <c r="B43" s="247"/>
      <c r="C43" s="271"/>
      <c r="D43" s="225" t="s">
        <v>765</v>
      </c>
      <c r="E43" s="9">
        <v>21</v>
      </c>
      <c r="F43" s="6" t="s">
        <v>1403</v>
      </c>
      <c r="G43" s="225" t="s">
        <v>787</v>
      </c>
      <c r="H43" s="6" t="s">
        <v>1403</v>
      </c>
      <c r="I43" s="7" t="s">
        <v>1398</v>
      </c>
    </row>
    <row r="44" spans="1:9">
      <c r="A44" s="251"/>
      <c r="B44" s="247"/>
      <c r="C44" s="8" t="s">
        <v>12</v>
      </c>
      <c r="D44" s="8"/>
      <c r="E44" s="225">
        <f>SUM(E36:E43)</f>
        <v>38.78</v>
      </c>
      <c r="F44" s="225"/>
      <c r="G44" s="225"/>
      <c r="H44" s="4"/>
      <c r="I44" s="4"/>
    </row>
    <row r="45" spans="1:9" ht="90">
      <c r="A45" s="251" t="s">
        <v>1945</v>
      </c>
      <c r="B45" s="247" t="s">
        <v>327</v>
      </c>
      <c r="C45" s="271" t="s">
        <v>534</v>
      </c>
      <c r="D45" s="43" t="s">
        <v>940</v>
      </c>
      <c r="E45" s="48">
        <v>0.5</v>
      </c>
      <c r="F45" s="4" t="s">
        <v>1485</v>
      </c>
      <c r="G45" s="44" t="s">
        <v>958</v>
      </c>
      <c r="H45" s="4"/>
      <c r="I45" s="4"/>
    </row>
    <row r="46" spans="1:9" ht="30">
      <c r="A46" s="251"/>
      <c r="B46" s="247"/>
      <c r="C46" s="271"/>
      <c r="D46" s="75" t="s">
        <v>1314</v>
      </c>
      <c r="E46" s="9">
        <v>2</v>
      </c>
      <c r="F46" s="225" t="s">
        <v>1418</v>
      </c>
      <c r="G46" s="25" t="s">
        <v>92</v>
      </c>
      <c r="H46" s="4"/>
      <c r="I46" s="4"/>
    </row>
    <row r="47" spans="1:9" ht="30">
      <c r="A47" s="251"/>
      <c r="B47" s="247"/>
      <c r="C47" s="271"/>
      <c r="D47" s="37" t="s">
        <v>1169</v>
      </c>
      <c r="E47" s="64">
        <v>0.2</v>
      </c>
      <c r="F47" s="225" t="s">
        <v>485</v>
      </c>
      <c r="G47" s="225" t="s">
        <v>1503</v>
      </c>
      <c r="H47" s="4"/>
      <c r="I47" s="4"/>
    </row>
    <row r="48" spans="1:9" ht="90">
      <c r="A48" s="251"/>
      <c r="B48" s="247"/>
      <c r="C48" s="247" t="s">
        <v>528</v>
      </c>
      <c r="D48" s="34" t="s">
        <v>1107</v>
      </c>
      <c r="E48" s="64">
        <v>0.65</v>
      </c>
      <c r="F48" s="225" t="s">
        <v>1485</v>
      </c>
      <c r="G48" s="225" t="s">
        <v>1078</v>
      </c>
      <c r="H48" s="4"/>
      <c r="I48" s="4"/>
    </row>
    <row r="49" spans="1:9">
      <c r="A49" s="251"/>
      <c r="B49" s="247"/>
      <c r="C49" s="247"/>
      <c r="D49" s="34"/>
      <c r="E49" s="64"/>
      <c r="F49" s="33"/>
      <c r="G49" s="225"/>
      <c r="H49" s="4"/>
      <c r="I49" s="4"/>
    </row>
    <row r="50" spans="1:9" ht="90">
      <c r="A50" s="251"/>
      <c r="B50" s="247"/>
      <c r="C50" s="247" t="s">
        <v>531</v>
      </c>
      <c r="D50" s="34" t="s">
        <v>1108</v>
      </c>
      <c r="E50" s="64">
        <v>0.35</v>
      </c>
      <c r="F50" s="225" t="s">
        <v>1485</v>
      </c>
      <c r="G50" s="225" t="s">
        <v>1078</v>
      </c>
      <c r="H50" s="4"/>
      <c r="I50" s="4"/>
    </row>
    <row r="51" spans="1:9" ht="30">
      <c r="A51" s="251"/>
      <c r="B51" s="247"/>
      <c r="C51" s="247"/>
      <c r="D51" s="75" t="s">
        <v>1315</v>
      </c>
      <c r="E51" s="1">
        <v>2</v>
      </c>
      <c r="F51" s="225" t="s">
        <v>1418</v>
      </c>
      <c r="G51" s="25" t="s">
        <v>92</v>
      </c>
      <c r="H51" s="4"/>
      <c r="I51" s="4"/>
    </row>
    <row r="52" spans="1:9">
      <c r="A52" s="251"/>
      <c r="B52" s="247"/>
      <c r="C52" s="8" t="s">
        <v>12</v>
      </c>
      <c r="D52" s="225"/>
      <c r="E52" s="91">
        <f>SUM(E45:E51)</f>
        <v>5.7</v>
      </c>
      <c r="F52" s="225"/>
      <c r="G52" s="225"/>
      <c r="H52" s="4"/>
      <c r="I52" s="4"/>
    </row>
    <row r="53" spans="1:9" ht="30">
      <c r="A53" s="251" t="s">
        <v>1946</v>
      </c>
      <c r="B53" s="247" t="s">
        <v>328</v>
      </c>
      <c r="C53" s="234" t="s">
        <v>328</v>
      </c>
      <c r="D53" s="75" t="s">
        <v>1320</v>
      </c>
      <c r="E53" s="1">
        <v>2</v>
      </c>
      <c r="F53" s="225" t="s">
        <v>1418</v>
      </c>
      <c r="G53" s="25" t="s">
        <v>92</v>
      </c>
      <c r="H53" s="4"/>
      <c r="I53" s="4"/>
    </row>
    <row r="54" spans="1:9" ht="75">
      <c r="A54" s="251"/>
      <c r="B54" s="247"/>
      <c r="C54" s="236"/>
      <c r="D54" s="225" t="s">
        <v>638</v>
      </c>
      <c r="E54" s="9">
        <v>8</v>
      </c>
      <c r="F54" s="225" t="s">
        <v>1426</v>
      </c>
      <c r="G54" s="225" t="s">
        <v>626</v>
      </c>
      <c r="H54" s="225" t="s">
        <v>1426</v>
      </c>
      <c r="I54" s="115" t="s">
        <v>1398</v>
      </c>
    </row>
    <row r="55" spans="1:9">
      <c r="A55" s="251"/>
      <c r="B55" s="247"/>
      <c r="C55" s="8" t="s">
        <v>12</v>
      </c>
      <c r="D55" s="8"/>
      <c r="E55" s="225">
        <f>SUM(E53:E54)</f>
        <v>10</v>
      </c>
      <c r="F55" s="225"/>
      <c r="G55" s="225"/>
      <c r="H55" s="4"/>
      <c r="I55" s="4"/>
    </row>
    <row r="56" spans="1:9" ht="90">
      <c r="A56" s="251" t="s">
        <v>14</v>
      </c>
      <c r="B56" s="247" t="s">
        <v>329</v>
      </c>
      <c r="C56" s="271" t="s">
        <v>530</v>
      </c>
      <c r="D56" s="41" t="s">
        <v>962</v>
      </c>
      <c r="E56" s="46">
        <v>2</v>
      </c>
      <c r="F56" s="4" t="s">
        <v>1485</v>
      </c>
      <c r="G56" s="44" t="s">
        <v>958</v>
      </c>
      <c r="H56" s="4"/>
      <c r="I56" s="4"/>
    </row>
    <row r="57" spans="1:9" ht="90">
      <c r="A57" s="251"/>
      <c r="B57" s="247"/>
      <c r="C57" s="271"/>
      <c r="D57" s="59" t="s">
        <v>1051</v>
      </c>
      <c r="E57" s="60">
        <v>1.25</v>
      </c>
      <c r="F57" s="6" t="s">
        <v>1485</v>
      </c>
      <c r="G57" s="61" t="s">
        <v>1044</v>
      </c>
      <c r="H57" s="4"/>
      <c r="I57" s="4"/>
    </row>
    <row r="58" spans="1:9" ht="90">
      <c r="A58" s="251"/>
      <c r="B58" s="247"/>
      <c r="C58" s="271"/>
      <c r="D58" s="34" t="s">
        <v>1103</v>
      </c>
      <c r="E58" s="64">
        <v>0.3</v>
      </c>
      <c r="F58" s="4" t="s">
        <v>1485</v>
      </c>
      <c r="G58" s="33" t="s">
        <v>1078</v>
      </c>
      <c r="H58" s="4"/>
      <c r="I58" s="4"/>
    </row>
    <row r="59" spans="1:9" ht="30">
      <c r="A59" s="251"/>
      <c r="B59" s="247"/>
      <c r="C59" s="271"/>
      <c r="D59" s="75" t="s">
        <v>1312</v>
      </c>
      <c r="E59" s="9">
        <v>2</v>
      </c>
      <c r="F59" s="225" t="s">
        <v>1418</v>
      </c>
      <c r="G59" s="25" t="s">
        <v>92</v>
      </c>
      <c r="H59" s="4"/>
      <c r="I59" s="4"/>
    </row>
    <row r="60" spans="1:9" ht="90">
      <c r="A60" s="251"/>
      <c r="B60" s="247"/>
      <c r="C60" s="271"/>
      <c r="D60" s="164" t="s">
        <v>1104</v>
      </c>
      <c r="E60" s="165">
        <v>0.4</v>
      </c>
      <c r="F60" s="4" t="s">
        <v>1485</v>
      </c>
      <c r="G60" s="166" t="s">
        <v>1078</v>
      </c>
      <c r="H60" s="4"/>
      <c r="I60" s="4"/>
    </row>
    <row r="61" spans="1:9" ht="90">
      <c r="A61" s="251"/>
      <c r="B61" s="247"/>
      <c r="C61" s="271"/>
      <c r="D61" s="59" t="s">
        <v>1053</v>
      </c>
      <c r="E61" s="60">
        <v>1.25</v>
      </c>
      <c r="F61" s="4" t="s">
        <v>1485</v>
      </c>
      <c r="G61" s="61" t="s">
        <v>1044</v>
      </c>
      <c r="H61" s="4"/>
      <c r="I61" s="4"/>
    </row>
    <row r="62" spans="1:9" ht="30">
      <c r="A62" s="251"/>
      <c r="B62" s="247"/>
      <c r="C62" s="271"/>
      <c r="D62" s="225" t="s">
        <v>1125</v>
      </c>
      <c r="E62" s="64">
        <v>1</v>
      </c>
      <c r="F62" s="225" t="s">
        <v>1116</v>
      </c>
      <c r="G62" s="34" t="s">
        <v>783</v>
      </c>
      <c r="I62" s="4"/>
    </row>
    <row r="63" spans="1:9">
      <c r="A63" s="251"/>
      <c r="B63" s="247"/>
      <c r="C63" s="8" t="s">
        <v>12</v>
      </c>
      <c r="D63" s="8"/>
      <c r="E63" s="86">
        <f>SUM(E56:E62)</f>
        <v>8.1999999999999993</v>
      </c>
      <c r="F63" s="225"/>
      <c r="G63" s="225"/>
      <c r="H63" s="4"/>
      <c r="I63" s="4"/>
    </row>
    <row r="64" spans="1:9" ht="90">
      <c r="A64" s="251" t="s">
        <v>15</v>
      </c>
      <c r="B64" s="247" t="s">
        <v>330</v>
      </c>
      <c r="C64" s="225" t="s">
        <v>330</v>
      </c>
      <c r="D64" s="41" t="s">
        <v>914</v>
      </c>
      <c r="E64" s="46">
        <v>2</v>
      </c>
      <c r="F64" s="4" t="s">
        <v>1485</v>
      </c>
      <c r="G64" s="44" t="s">
        <v>958</v>
      </c>
      <c r="H64" s="4"/>
      <c r="I64" s="4"/>
    </row>
    <row r="65" spans="1:9">
      <c r="A65" s="251"/>
      <c r="B65" s="247"/>
      <c r="C65" s="8" t="s">
        <v>12</v>
      </c>
      <c r="D65" s="8"/>
      <c r="E65" s="86">
        <f>SUM(E64)</f>
        <v>2</v>
      </c>
      <c r="F65" s="225"/>
      <c r="G65" s="225"/>
      <c r="H65" s="4"/>
      <c r="I65" s="4"/>
    </row>
    <row r="66" spans="1:9" ht="90">
      <c r="A66" s="251" t="s">
        <v>304</v>
      </c>
      <c r="B66" s="247" t="s">
        <v>331</v>
      </c>
      <c r="C66" s="271" t="s">
        <v>331</v>
      </c>
      <c r="D66" s="34" t="s">
        <v>961</v>
      </c>
      <c r="E66" s="46">
        <v>2</v>
      </c>
      <c r="F66" s="4" t="s">
        <v>1485</v>
      </c>
      <c r="G66" s="44" t="s">
        <v>958</v>
      </c>
      <c r="H66" s="4"/>
      <c r="I66" s="4"/>
    </row>
    <row r="67" spans="1:9" ht="86.25" customHeight="1">
      <c r="A67" s="251"/>
      <c r="B67" s="247"/>
      <c r="C67" s="271"/>
      <c r="D67" s="110" t="s">
        <v>912</v>
      </c>
      <c r="E67" s="46">
        <v>2</v>
      </c>
      <c r="F67" s="4" t="s">
        <v>1485</v>
      </c>
      <c r="G67" s="44" t="s">
        <v>958</v>
      </c>
      <c r="H67" s="4"/>
      <c r="I67" s="4"/>
    </row>
    <row r="68" spans="1:9" ht="86.25" customHeight="1">
      <c r="A68" s="251"/>
      <c r="B68" s="247"/>
      <c r="C68" s="271"/>
      <c r="D68" s="59" t="s">
        <v>1045</v>
      </c>
      <c r="E68" s="60">
        <v>1</v>
      </c>
      <c r="F68" s="4" t="s">
        <v>1485</v>
      </c>
      <c r="G68" s="61" t="s">
        <v>1044</v>
      </c>
      <c r="H68" s="4"/>
      <c r="I68" s="4"/>
    </row>
    <row r="69" spans="1:9" ht="75">
      <c r="A69" s="251"/>
      <c r="B69" s="247"/>
      <c r="C69" s="271"/>
      <c r="D69" s="225" t="s">
        <v>640</v>
      </c>
      <c r="E69" s="9">
        <v>1</v>
      </c>
      <c r="F69" s="225" t="s">
        <v>1426</v>
      </c>
      <c r="G69" s="225" t="s">
        <v>487</v>
      </c>
      <c r="H69" s="225" t="s">
        <v>1426</v>
      </c>
      <c r="I69" s="115" t="s">
        <v>1398</v>
      </c>
    </row>
    <row r="70" spans="1:9">
      <c r="A70" s="251"/>
      <c r="B70" s="247"/>
      <c r="C70" s="8" t="s">
        <v>12</v>
      </c>
      <c r="D70" s="8"/>
      <c r="E70" s="86">
        <f>SUM(E66:E69)</f>
        <v>6</v>
      </c>
      <c r="F70" s="225"/>
      <c r="G70" s="225"/>
      <c r="H70" s="4"/>
      <c r="I70" s="4"/>
    </row>
    <row r="71" spans="1:9" ht="73.5" customHeight="1">
      <c r="A71" s="1"/>
      <c r="B71" s="1"/>
      <c r="C71" s="266" t="s">
        <v>663</v>
      </c>
      <c r="D71" s="225" t="s">
        <v>656</v>
      </c>
      <c r="E71" s="9">
        <v>0.8</v>
      </c>
      <c r="F71" s="225" t="s">
        <v>1426</v>
      </c>
      <c r="G71" s="225" t="s">
        <v>657</v>
      </c>
      <c r="H71" s="225" t="s">
        <v>1426</v>
      </c>
      <c r="I71" s="115" t="s">
        <v>1398</v>
      </c>
    </row>
    <row r="72" spans="1:9" ht="73.5" customHeight="1">
      <c r="A72" s="1"/>
      <c r="B72" s="1"/>
      <c r="C72" s="266"/>
      <c r="D72" s="225" t="s">
        <v>661</v>
      </c>
      <c r="E72" s="9">
        <v>0.75</v>
      </c>
      <c r="F72" s="225" t="s">
        <v>1426</v>
      </c>
      <c r="G72" s="225" t="s">
        <v>657</v>
      </c>
      <c r="H72" s="225" t="s">
        <v>1426</v>
      </c>
      <c r="I72" s="115" t="s">
        <v>1398</v>
      </c>
    </row>
    <row r="73" spans="1:9" ht="73.5" customHeight="1">
      <c r="A73" s="1"/>
      <c r="B73" s="1"/>
      <c r="C73" s="266"/>
      <c r="D73" s="225" t="s">
        <v>658</v>
      </c>
      <c r="E73" s="9">
        <v>0.75</v>
      </c>
      <c r="F73" s="225" t="s">
        <v>1426</v>
      </c>
      <c r="G73" s="225" t="s">
        <v>657</v>
      </c>
      <c r="H73" s="225" t="s">
        <v>1426</v>
      </c>
      <c r="I73" s="115" t="s">
        <v>1398</v>
      </c>
    </row>
    <row r="74" spans="1:9" ht="73.5" customHeight="1">
      <c r="A74" s="1"/>
      <c r="B74" s="1"/>
      <c r="C74" s="266"/>
      <c r="D74" s="225" t="s">
        <v>659</v>
      </c>
      <c r="E74" s="9">
        <v>0.1</v>
      </c>
      <c r="F74" s="225" t="s">
        <v>1426</v>
      </c>
      <c r="G74" s="225" t="s">
        <v>657</v>
      </c>
      <c r="H74" s="225" t="s">
        <v>1426</v>
      </c>
      <c r="I74" s="115" t="s">
        <v>1398</v>
      </c>
    </row>
    <row r="75" spans="1:9" ht="42.75" customHeight="1">
      <c r="A75" s="1"/>
      <c r="B75" s="1"/>
      <c r="C75" s="234" t="s">
        <v>1920</v>
      </c>
      <c r="D75" s="226" t="s">
        <v>1894</v>
      </c>
      <c r="E75" s="211">
        <v>18.600000000000001</v>
      </c>
      <c r="F75" s="224" t="s">
        <v>1919</v>
      </c>
      <c r="G75" s="223" t="s">
        <v>1504</v>
      </c>
      <c r="H75" s="122"/>
      <c r="I75" s="114"/>
    </row>
    <row r="76" spans="1:9" ht="53.25" customHeight="1">
      <c r="A76" s="1"/>
      <c r="B76" s="1"/>
      <c r="C76" s="235"/>
      <c r="D76" s="226" t="s">
        <v>1895</v>
      </c>
      <c r="E76" s="211">
        <v>43</v>
      </c>
      <c r="F76" s="224" t="s">
        <v>1919</v>
      </c>
      <c r="G76" s="223" t="s">
        <v>1504</v>
      </c>
      <c r="H76" s="122"/>
      <c r="I76" s="114"/>
    </row>
    <row r="77" spans="1:9" ht="46.5" customHeight="1">
      <c r="A77" s="1"/>
      <c r="B77" s="1"/>
      <c r="C77" s="235"/>
      <c r="D77" s="226" t="s">
        <v>1896</v>
      </c>
      <c r="E77" s="273">
        <v>40.799999999999997</v>
      </c>
      <c r="F77" s="224" t="s">
        <v>1919</v>
      </c>
      <c r="G77" s="223" t="s">
        <v>1504</v>
      </c>
      <c r="H77" s="122"/>
      <c r="I77" s="114"/>
    </row>
    <row r="78" spans="1:9" ht="47.25" customHeight="1">
      <c r="A78" s="1"/>
      <c r="B78" s="1"/>
      <c r="C78" s="236"/>
      <c r="D78" s="226" t="s">
        <v>1897</v>
      </c>
      <c r="E78" s="274"/>
      <c r="F78" s="224" t="s">
        <v>1919</v>
      </c>
      <c r="G78" s="223" t="s">
        <v>1504</v>
      </c>
      <c r="H78" s="122"/>
      <c r="I78" s="114"/>
    </row>
    <row r="79" spans="1:9" ht="32.25" customHeight="1">
      <c r="A79" s="1"/>
      <c r="B79" s="1"/>
      <c r="C79" s="222"/>
      <c r="D79" s="220" t="s">
        <v>1933</v>
      </c>
      <c r="E79" s="227"/>
      <c r="F79" s="224"/>
      <c r="G79" s="223"/>
      <c r="H79" s="122"/>
      <c r="I79" s="114"/>
    </row>
    <row r="80" spans="1:9">
      <c r="A80" s="1"/>
      <c r="B80" s="1"/>
      <c r="C80" s="1" t="s">
        <v>12</v>
      </c>
      <c r="E80" s="9">
        <f>SUM(E71:E79)</f>
        <v>104.8</v>
      </c>
      <c r="F80" s="225"/>
      <c r="G80" s="1"/>
    </row>
    <row r="81" spans="1:7" ht="27" customHeight="1">
      <c r="A81" s="1"/>
      <c r="B81" s="1"/>
      <c r="C81" s="9" t="s">
        <v>150</v>
      </c>
      <c r="D81" s="225"/>
      <c r="E81" s="108">
        <f>E80+E70+E65+E63+E55+E52+E44+E35+E32+E25+E16+E14+E8</f>
        <v>232.02999999999997</v>
      </c>
      <c r="F81" s="225"/>
      <c r="G81" s="79"/>
    </row>
    <row r="82" spans="1:7">
      <c r="B82" t="s">
        <v>1319</v>
      </c>
      <c r="D82"/>
      <c r="E82" s="159"/>
    </row>
    <row r="83" spans="1:7">
      <c r="G83" s="159"/>
    </row>
    <row r="84" spans="1:7">
      <c r="D84"/>
      <c r="F84"/>
    </row>
    <row r="85" spans="1:7">
      <c r="D85"/>
      <c r="F85"/>
    </row>
    <row r="86" spans="1:7">
      <c r="D86"/>
      <c r="F86"/>
    </row>
    <row r="87" spans="1:7">
      <c r="D87"/>
      <c r="F87"/>
    </row>
    <row r="88" spans="1:7">
      <c r="D88"/>
      <c r="F88"/>
    </row>
  </sheetData>
  <mergeCells count="42">
    <mergeCell ref="C71:C74"/>
    <mergeCell ref="C75:C78"/>
    <mergeCell ref="E77:E78"/>
    <mergeCell ref="A64:A65"/>
    <mergeCell ref="B64:B65"/>
    <mergeCell ref="A66:A70"/>
    <mergeCell ref="B66:B70"/>
    <mergeCell ref="C66:C69"/>
    <mergeCell ref="A53:A55"/>
    <mergeCell ref="B53:B55"/>
    <mergeCell ref="C53:C54"/>
    <mergeCell ref="A56:A63"/>
    <mergeCell ref="B56:B63"/>
    <mergeCell ref="C56:C62"/>
    <mergeCell ref="A36:A44"/>
    <mergeCell ref="B36:B44"/>
    <mergeCell ref="C36:C43"/>
    <mergeCell ref="A45:A52"/>
    <mergeCell ref="B45:B52"/>
    <mergeCell ref="C45:C47"/>
    <mergeCell ref="C48:C49"/>
    <mergeCell ref="C50:C51"/>
    <mergeCell ref="A26:A32"/>
    <mergeCell ref="B26:B32"/>
    <mergeCell ref="C26:C27"/>
    <mergeCell ref="C28:C31"/>
    <mergeCell ref="A33:A35"/>
    <mergeCell ref="B33:B35"/>
    <mergeCell ref="C33:C34"/>
    <mergeCell ref="C9:C13"/>
    <mergeCell ref="A15:A16"/>
    <mergeCell ref="B15:B16"/>
    <mergeCell ref="A17:A25"/>
    <mergeCell ref="B17:B25"/>
    <mergeCell ref="C17:C24"/>
    <mergeCell ref="A9:A14"/>
    <mergeCell ref="B9:B14"/>
    <mergeCell ref="A1:G1"/>
    <mergeCell ref="A2:G2"/>
    <mergeCell ref="A4:A8"/>
    <mergeCell ref="B4:B8"/>
    <mergeCell ref="C4:C7"/>
  </mergeCells>
  <pageMargins left="0.7" right="0.7" top="0.75" bottom="0.75" header="0.3" footer="0.3"/>
  <pageSetup paperSize="9"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193"/>
  <sheetViews>
    <sheetView tabSelected="1" topLeftCell="A178" zoomScale="90" zoomScaleNormal="90" workbookViewId="0">
      <selection activeCell="G192" sqref="G192"/>
    </sheetView>
  </sheetViews>
  <sheetFormatPr defaultRowHeight="15"/>
  <cols>
    <col min="1" max="1" width="6.28515625" customWidth="1"/>
    <col min="2" max="2" width="10.85546875" customWidth="1"/>
    <col min="3" max="3" width="18.140625" customWidth="1"/>
    <col min="4" max="4" width="47.28515625" style="6" customWidth="1"/>
    <col min="5" max="5" width="9.7109375" customWidth="1"/>
    <col min="6" max="6" width="26.85546875" style="6" customWidth="1"/>
    <col min="7" max="7" width="18.42578125" style="6" customWidth="1"/>
    <col min="8" max="8" width="32" customWidth="1"/>
    <col min="9" max="9" width="17" customWidth="1"/>
    <col min="10" max="10" width="15.28515625" customWidth="1"/>
  </cols>
  <sheetData>
    <row r="1" spans="1:10" ht="15.75">
      <c r="A1" s="275" t="s">
        <v>55</v>
      </c>
      <c r="B1" s="275"/>
      <c r="C1" s="275"/>
      <c r="D1" s="275"/>
      <c r="E1" s="275"/>
      <c r="F1" s="275"/>
      <c r="G1" s="275"/>
      <c r="H1" s="123"/>
      <c r="I1" s="123"/>
    </row>
    <row r="2" spans="1:10" ht="15.75">
      <c r="A2" s="276" t="s">
        <v>664</v>
      </c>
      <c r="B2" s="276"/>
      <c r="C2" s="276"/>
      <c r="D2" s="276"/>
      <c r="E2" s="276"/>
      <c r="F2" s="276"/>
      <c r="G2" s="276"/>
      <c r="H2" s="123"/>
      <c r="I2" s="123"/>
    </row>
    <row r="3" spans="1:10" s="7" customFormat="1" ht="30" customHeight="1">
      <c r="A3" s="113" t="s">
        <v>0</v>
      </c>
      <c r="B3" s="113" t="s">
        <v>10</v>
      </c>
      <c r="C3" s="113" t="s">
        <v>11</v>
      </c>
      <c r="D3" s="113" t="s">
        <v>54</v>
      </c>
      <c r="E3" s="113" t="s">
        <v>59</v>
      </c>
      <c r="F3" s="3" t="s">
        <v>1473</v>
      </c>
      <c r="G3" s="113" t="s">
        <v>57</v>
      </c>
      <c r="H3" s="124"/>
      <c r="I3" s="124"/>
    </row>
    <row r="4" spans="1:10" ht="66" customHeight="1">
      <c r="A4" s="125" t="s">
        <v>1</v>
      </c>
      <c r="B4" s="126"/>
      <c r="C4" s="127" t="s">
        <v>611</v>
      </c>
      <c r="D4" s="20" t="s">
        <v>612</v>
      </c>
      <c r="E4" s="127">
        <v>0.8</v>
      </c>
      <c r="F4" s="20" t="s">
        <v>1426</v>
      </c>
      <c r="G4" s="20" t="s">
        <v>487</v>
      </c>
      <c r="H4" s="20" t="s">
        <v>1426</v>
      </c>
      <c r="I4" s="128" t="s">
        <v>1398</v>
      </c>
    </row>
    <row r="5" spans="1:10" ht="66" customHeight="1">
      <c r="A5" s="125" t="s">
        <v>2</v>
      </c>
      <c r="B5" s="126"/>
      <c r="C5" s="127"/>
      <c r="D5" s="20" t="s">
        <v>613</v>
      </c>
      <c r="E5" s="127">
        <v>0.7</v>
      </c>
      <c r="F5" s="20" t="s">
        <v>1426</v>
      </c>
      <c r="G5" s="20" t="s">
        <v>487</v>
      </c>
      <c r="H5" s="20" t="s">
        <v>1426</v>
      </c>
      <c r="I5" s="128" t="s">
        <v>1398</v>
      </c>
    </row>
    <row r="6" spans="1:10" ht="66" customHeight="1">
      <c r="A6" s="125" t="s">
        <v>3</v>
      </c>
      <c r="B6" s="126"/>
      <c r="C6" s="127"/>
      <c r="D6" s="20" t="s">
        <v>614</v>
      </c>
      <c r="E6" s="127">
        <v>20</v>
      </c>
      <c r="F6" s="20" t="s">
        <v>1426</v>
      </c>
      <c r="G6" s="20" t="s">
        <v>487</v>
      </c>
      <c r="H6" s="20" t="s">
        <v>1426</v>
      </c>
      <c r="I6" s="128" t="s">
        <v>1398</v>
      </c>
    </row>
    <row r="7" spans="1:10" ht="66" customHeight="1">
      <c r="A7" s="125" t="s">
        <v>4</v>
      </c>
      <c r="B7" s="126"/>
      <c r="C7" s="127"/>
      <c r="D7" s="20" t="s">
        <v>615</v>
      </c>
      <c r="E7" s="127">
        <v>23</v>
      </c>
      <c r="F7" s="20" t="s">
        <v>1426</v>
      </c>
      <c r="G7" s="20" t="s">
        <v>487</v>
      </c>
      <c r="H7" s="20" t="s">
        <v>1426</v>
      </c>
      <c r="I7" s="128" t="s">
        <v>1398</v>
      </c>
    </row>
    <row r="8" spans="1:10" ht="66" customHeight="1">
      <c r="A8" s="125" t="s">
        <v>5</v>
      </c>
      <c r="B8" s="126"/>
      <c r="C8" s="127"/>
      <c r="D8" s="20" t="s">
        <v>616</v>
      </c>
      <c r="E8" s="127">
        <v>3</v>
      </c>
      <c r="F8" s="20" t="s">
        <v>1426</v>
      </c>
      <c r="G8" s="20" t="s">
        <v>487</v>
      </c>
      <c r="H8" s="20" t="s">
        <v>1426</v>
      </c>
      <c r="I8" s="128" t="s">
        <v>1398</v>
      </c>
    </row>
    <row r="9" spans="1:10" ht="66" customHeight="1">
      <c r="A9" s="125"/>
      <c r="B9" s="126"/>
      <c r="C9" s="127"/>
      <c r="D9" s="20" t="s">
        <v>617</v>
      </c>
      <c r="E9" s="127">
        <v>6</v>
      </c>
      <c r="F9" s="20" t="s">
        <v>1426</v>
      </c>
      <c r="G9" s="20" t="s">
        <v>487</v>
      </c>
      <c r="H9" s="20" t="s">
        <v>1426</v>
      </c>
      <c r="I9" s="128" t="s">
        <v>1398</v>
      </c>
    </row>
    <row r="10" spans="1:10" ht="94.5">
      <c r="A10" s="125" t="s">
        <v>6</v>
      </c>
      <c r="B10" s="129"/>
      <c r="C10" s="127"/>
      <c r="D10" s="20" t="s">
        <v>680</v>
      </c>
      <c r="E10" s="127">
        <v>0.2</v>
      </c>
      <c r="F10" s="20" t="s">
        <v>1426</v>
      </c>
      <c r="G10" s="20" t="s">
        <v>642</v>
      </c>
      <c r="H10" s="20" t="s">
        <v>1426</v>
      </c>
      <c r="I10" s="128" t="s">
        <v>1398</v>
      </c>
      <c r="J10" s="5"/>
    </row>
    <row r="11" spans="1:10" ht="110.25">
      <c r="A11" s="125" t="s">
        <v>7</v>
      </c>
      <c r="B11" s="129"/>
      <c r="C11" s="127"/>
      <c r="D11" s="20" t="s">
        <v>681</v>
      </c>
      <c r="E11" s="127">
        <v>0.2</v>
      </c>
      <c r="F11" s="20" t="s">
        <v>1426</v>
      </c>
      <c r="G11" s="20" t="s">
        <v>642</v>
      </c>
      <c r="H11" s="20" t="s">
        <v>1426</v>
      </c>
      <c r="I11" s="128" t="s">
        <v>1398</v>
      </c>
    </row>
    <row r="12" spans="1:10" ht="78.75">
      <c r="A12" s="125" t="s">
        <v>9</v>
      </c>
      <c r="B12" s="129"/>
      <c r="C12" s="127"/>
      <c r="D12" s="20" t="s">
        <v>682</v>
      </c>
      <c r="E12" s="127">
        <v>1</v>
      </c>
      <c r="F12" s="20" t="s">
        <v>1426</v>
      </c>
      <c r="G12" s="20" t="s">
        <v>642</v>
      </c>
      <c r="H12" s="20" t="s">
        <v>1426</v>
      </c>
      <c r="I12" s="128" t="s">
        <v>1398</v>
      </c>
    </row>
    <row r="13" spans="1:10" ht="78.75">
      <c r="A13" s="125" t="s">
        <v>13</v>
      </c>
      <c r="B13" s="129"/>
      <c r="C13" s="127"/>
      <c r="D13" s="20" t="s">
        <v>684</v>
      </c>
      <c r="E13" s="127">
        <v>0.05</v>
      </c>
      <c r="F13" s="20" t="s">
        <v>1426</v>
      </c>
      <c r="G13" s="20" t="s">
        <v>642</v>
      </c>
      <c r="H13" s="20" t="s">
        <v>1426</v>
      </c>
      <c r="I13" s="128" t="s">
        <v>1398</v>
      </c>
    </row>
    <row r="14" spans="1:10" ht="78.75">
      <c r="A14" s="125" t="s">
        <v>14</v>
      </c>
      <c r="B14" s="129"/>
      <c r="C14" s="127"/>
      <c r="D14" s="20" t="s">
        <v>685</v>
      </c>
      <c r="E14" s="127">
        <v>0.15</v>
      </c>
      <c r="F14" s="20" t="s">
        <v>1426</v>
      </c>
      <c r="G14" s="20" t="s">
        <v>642</v>
      </c>
      <c r="H14" s="20" t="s">
        <v>1426</v>
      </c>
      <c r="I14" s="128" t="s">
        <v>1398</v>
      </c>
    </row>
    <row r="15" spans="1:10" ht="78.75">
      <c r="A15" s="125" t="s">
        <v>15</v>
      </c>
      <c r="B15" s="129"/>
      <c r="C15" s="127"/>
      <c r="D15" s="20" t="s">
        <v>686</v>
      </c>
      <c r="E15" s="127">
        <v>1</v>
      </c>
      <c r="F15" s="20" t="s">
        <v>1426</v>
      </c>
      <c r="G15" s="20" t="s">
        <v>642</v>
      </c>
      <c r="H15" s="20" t="s">
        <v>1426</v>
      </c>
      <c r="I15" s="128" t="s">
        <v>1398</v>
      </c>
    </row>
    <row r="16" spans="1:10" ht="78.75">
      <c r="A16" s="125" t="s">
        <v>304</v>
      </c>
      <c r="B16" s="129"/>
      <c r="C16" s="127"/>
      <c r="D16" s="20" t="s">
        <v>1456</v>
      </c>
      <c r="E16" s="127">
        <v>0.25</v>
      </c>
      <c r="F16" s="20" t="s">
        <v>1426</v>
      </c>
      <c r="G16" s="20" t="s">
        <v>642</v>
      </c>
      <c r="H16" s="20" t="s">
        <v>1426</v>
      </c>
      <c r="I16" s="128" t="s">
        <v>1398</v>
      </c>
    </row>
    <row r="17" spans="1:9" ht="78.75">
      <c r="A17" s="125" t="s">
        <v>305</v>
      </c>
      <c r="B17" s="129"/>
      <c r="C17" s="127"/>
      <c r="D17" s="20" t="s">
        <v>1457</v>
      </c>
      <c r="E17" s="127">
        <v>0.25</v>
      </c>
      <c r="F17" s="20" t="s">
        <v>1426</v>
      </c>
      <c r="G17" s="20" t="s">
        <v>642</v>
      </c>
      <c r="H17" s="20" t="s">
        <v>1426</v>
      </c>
      <c r="I17" s="128" t="s">
        <v>1398</v>
      </c>
    </row>
    <row r="18" spans="1:9" ht="94.5">
      <c r="A18" s="125" t="s">
        <v>306</v>
      </c>
      <c r="B18" s="129"/>
      <c r="C18" s="127"/>
      <c r="D18" s="20" t="s">
        <v>1458</v>
      </c>
      <c r="E18" s="127">
        <v>0.1</v>
      </c>
      <c r="F18" s="20" t="s">
        <v>1426</v>
      </c>
      <c r="G18" s="20" t="s">
        <v>642</v>
      </c>
      <c r="H18" s="20" t="s">
        <v>1426</v>
      </c>
      <c r="I18" s="128" t="s">
        <v>1398</v>
      </c>
    </row>
    <row r="19" spans="1:9" ht="78.75">
      <c r="A19" s="125" t="s">
        <v>307</v>
      </c>
      <c r="B19" s="129"/>
      <c r="C19" s="127"/>
      <c r="D19" s="20" t="s">
        <v>1459</v>
      </c>
      <c r="E19" s="127">
        <v>0.1</v>
      </c>
      <c r="F19" s="20" t="s">
        <v>1426</v>
      </c>
      <c r="G19" s="20" t="s">
        <v>642</v>
      </c>
      <c r="H19" s="20" t="s">
        <v>1426</v>
      </c>
      <c r="I19" s="128" t="s">
        <v>1398</v>
      </c>
    </row>
    <row r="20" spans="1:9" ht="110.25">
      <c r="A20" s="125" t="s">
        <v>308</v>
      </c>
      <c r="B20" s="129"/>
      <c r="C20" s="127"/>
      <c r="D20" s="20" t="s">
        <v>687</v>
      </c>
      <c r="E20" s="127">
        <v>0.9</v>
      </c>
      <c r="F20" s="20" t="s">
        <v>1426</v>
      </c>
      <c r="G20" s="20" t="s">
        <v>642</v>
      </c>
      <c r="H20" s="20" t="s">
        <v>1426</v>
      </c>
      <c r="I20" s="128" t="s">
        <v>1398</v>
      </c>
    </row>
    <row r="21" spans="1:9" ht="78.75">
      <c r="A21" s="125" t="s">
        <v>309</v>
      </c>
      <c r="B21" s="129"/>
      <c r="C21" s="127"/>
      <c r="D21" s="20" t="s">
        <v>1460</v>
      </c>
      <c r="E21" s="127">
        <v>0.9</v>
      </c>
      <c r="F21" s="20" t="s">
        <v>1426</v>
      </c>
      <c r="G21" s="20" t="s">
        <v>642</v>
      </c>
      <c r="H21" s="20" t="s">
        <v>1426</v>
      </c>
      <c r="I21" s="128" t="s">
        <v>1398</v>
      </c>
    </row>
    <row r="22" spans="1:9" ht="78.75">
      <c r="A22" s="125" t="s">
        <v>310</v>
      </c>
      <c r="B22" s="129"/>
      <c r="C22" s="127"/>
      <c r="D22" s="20" t="s">
        <v>688</v>
      </c>
      <c r="E22" s="127">
        <v>0.1</v>
      </c>
      <c r="F22" s="20" t="s">
        <v>1426</v>
      </c>
      <c r="G22" s="20" t="s">
        <v>642</v>
      </c>
      <c r="H22" s="20" t="s">
        <v>1426</v>
      </c>
      <c r="I22" s="128" t="s">
        <v>1398</v>
      </c>
    </row>
    <row r="23" spans="1:9" ht="78.75">
      <c r="A23" s="125" t="s">
        <v>311</v>
      </c>
      <c r="B23" s="129"/>
      <c r="C23" s="127"/>
      <c r="D23" s="20" t="s">
        <v>689</v>
      </c>
      <c r="E23" s="127">
        <v>0.12</v>
      </c>
      <c r="F23" s="20" t="s">
        <v>1426</v>
      </c>
      <c r="G23" s="20" t="s">
        <v>642</v>
      </c>
      <c r="H23" s="20" t="s">
        <v>1426</v>
      </c>
      <c r="I23" s="128" t="s">
        <v>1398</v>
      </c>
    </row>
    <row r="24" spans="1:9" ht="78.75">
      <c r="A24" s="125" t="s">
        <v>312</v>
      </c>
      <c r="B24" s="129"/>
      <c r="C24" s="127"/>
      <c r="D24" s="20" t="s">
        <v>690</v>
      </c>
      <c r="E24" s="127">
        <v>7.0000000000000007E-2</v>
      </c>
      <c r="F24" s="20" t="s">
        <v>1426</v>
      </c>
      <c r="G24" s="20" t="s">
        <v>642</v>
      </c>
      <c r="H24" s="20" t="s">
        <v>1426</v>
      </c>
      <c r="I24" s="128" t="s">
        <v>1398</v>
      </c>
    </row>
    <row r="25" spans="1:9" ht="78.75">
      <c r="A25" s="125" t="s">
        <v>665</v>
      </c>
      <c r="B25" s="129"/>
      <c r="C25" s="127"/>
      <c r="D25" s="20" t="s">
        <v>691</v>
      </c>
      <c r="E25" s="127">
        <v>0.2</v>
      </c>
      <c r="F25" s="20" t="s">
        <v>1426</v>
      </c>
      <c r="G25" s="20" t="s">
        <v>642</v>
      </c>
      <c r="H25" s="20" t="s">
        <v>1426</v>
      </c>
      <c r="I25" s="128" t="s">
        <v>1398</v>
      </c>
    </row>
    <row r="26" spans="1:9" ht="78.75">
      <c r="A26" s="125" t="s">
        <v>666</v>
      </c>
      <c r="B26" s="129"/>
      <c r="C26" s="127"/>
      <c r="D26" s="20" t="s">
        <v>692</v>
      </c>
      <c r="E26" s="127">
        <v>0.65</v>
      </c>
      <c r="F26" s="20" t="s">
        <v>1426</v>
      </c>
      <c r="G26" s="20" t="s">
        <v>642</v>
      </c>
      <c r="H26" s="20" t="s">
        <v>1426</v>
      </c>
      <c r="I26" s="128" t="s">
        <v>1398</v>
      </c>
    </row>
    <row r="27" spans="1:9" ht="78.75">
      <c r="A27" s="125" t="s">
        <v>667</v>
      </c>
      <c r="B27" s="129"/>
      <c r="C27" s="127"/>
      <c r="D27" s="20" t="s">
        <v>693</v>
      </c>
      <c r="E27" s="127">
        <v>0.15</v>
      </c>
      <c r="F27" s="20" t="s">
        <v>1426</v>
      </c>
      <c r="G27" s="20" t="s">
        <v>642</v>
      </c>
      <c r="H27" s="20" t="s">
        <v>1426</v>
      </c>
      <c r="I27" s="128" t="s">
        <v>1398</v>
      </c>
    </row>
    <row r="28" spans="1:9" ht="78.75">
      <c r="A28" s="125" t="s">
        <v>668</v>
      </c>
      <c r="B28" s="129"/>
      <c r="C28" s="127"/>
      <c r="D28" s="20" t="s">
        <v>694</v>
      </c>
      <c r="E28" s="127">
        <v>1.25</v>
      </c>
      <c r="F28" s="20" t="s">
        <v>1426</v>
      </c>
      <c r="G28" s="20" t="s">
        <v>642</v>
      </c>
      <c r="H28" s="20" t="s">
        <v>1426</v>
      </c>
      <c r="I28" s="128" t="s">
        <v>1398</v>
      </c>
    </row>
    <row r="29" spans="1:9" ht="78.75">
      <c r="A29" s="125" t="s">
        <v>669</v>
      </c>
      <c r="B29" s="129"/>
      <c r="C29" s="127"/>
      <c r="D29" s="20" t="s">
        <v>695</v>
      </c>
      <c r="E29" s="127">
        <v>7.0000000000000007E-2</v>
      </c>
      <c r="F29" s="20" t="s">
        <v>1426</v>
      </c>
      <c r="G29" s="20" t="s">
        <v>642</v>
      </c>
      <c r="H29" s="20" t="s">
        <v>1426</v>
      </c>
      <c r="I29" s="128" t="s">
        <v>1398</v>
      </c>
    </row>
    <row r="30" spans="1:9" ht="78.75">
      <c r="A30" s="125" t="s">
        <v>670</v>
      </c>
      <c r="B30" s="129"/>
      <c r="C30" s="127"/>
      <c r="D30" s="20" t="s">
        <v>696</v>
      </c>
      <c r="E30" s="127">
        <v>0.05</v>
      </c>
      <c r="F30" s="20" t="s">
        <v>1426</v>
      </c>
      <c r="G30" s="20" t="s">
        <v>642</v>
      </c>
      <c r="H30" s="20" t="s">
        <v>1426</v>
      </c>
      <c r="I30" s="128" t="s">
        <v>1398</v>
      </c>
    </row>
    <row r="31" spans="1:9" ht="78.75">
      <c r="A31" s="125" t="s">
        <v>671</v>
      </c>
      <c r="B31" s="129"/>
      <c r="C31" s="127"/>
      <c r="D31" s="20" t="s">
        <v>697</v>
      </c>
      <c r="E31" s="127">
        <v>0.1</v>
      </c>
      <c r="F31" s="20" t="s">
        <v>1426</v>
      </c>
      <c r="G31" s="20" t="s">
        <v>642</v>
      </c>
      <c r="H31" s="20" t="s">
        <v>1426</v>
      </c>
      <c r="I31" s="128" t="s">
        <v>1398</v>
      </c>
    </row>
    <row r="32" spans="1:9" ht="78.75">
      <c r="A32" s="125" t="s">
        <v>672</v>
      </c>
      <c r="B32" s="129"/>
      <c r="C32" s="127"/>
      <c r="D32" s="20" t="s">
        <v>698</v>
      </c>
      <c r="E32" s="127">
        <v>0.5</v>
      </c>
      <c r="F32" s="20" t="s">
        <v>1426</v>
      </c>
      <c r="G32" s="20" t="s">
        <v>642</v>
      </c>
      <c r="H32" s="20" t="s">
        <v>1426</v>
      </c>
      <c r="I32" s="128" t="s">
        <v>1398</v>
      </c>
    </row>
    <row r="33" spans="1:9" ht="78.75">
      <c r="A33" s="125" t="s">
        <v>673</v>
      </c>
      <c r="B33" s="129"/>
      <c r="C33" s="127"/>
      <c r="D33" s="20" t="s">
        <v>699</v>
      </c>
      <c r="E33" s="127">
        <v>5.32</v>
      </c>
      <c r="F33" s="20" t="s">
        <v>1426</v>
      </c>
      <c r="G33" s="20" t="s">
        <v>642</v>
      </c>
      <c r="H33" s="20" t="s">
        <v>1426</v>
      </c>
      <c r="I33" s="128" t="s">
        <v>1398</v>
      </c>
    </row>
    <row r="34" spans="1:9" ht="78.75">
      <c r="A34" s="125" t="s">
        <v>674</v>
      </c>
      <c r="B34" s="129"/>
      <c r="C34" s="127"/>
      <c r="D34" s="20" t="s">
        <v>700</v>
      </c>
      <c r="E34" s="127">
        <v>0.25</v>
      </c>
      <c r="F34" s="20" t="s">
        <v>1426</v>
      </c>
      <c r="G34" s="20" t="s">
        <v>642</v>
      </c>
      <c r="H34" s="20" t="s">
        <v>1426</v>
      </c>
      <c r="I34" s="128" t="s">
        <v>1398</v>
      </c>
    </row>
    <row r="35" spans="1:9" ht="78.75">
      <c r="A35" s="125" t="s">
        <v>675</v>
      </c>
      <c r="B35" s="129"/>
      <c r="C35" s="127"/>
      <c r="D35" s="20" t="s">
        <v>701</v>
      </c>
      <c r="E35" s="127">
        <v>0.5</v>
      </c>
      <c r="F35" s="20" t="s">
        <v>1426</v>
      </c>
      <c r="G35" s="20" t="s">
        <v>642</v>
      </c>
      <c r="H35" s="20" t="s">
        <v>1426</v>
      </c>
      <c r="I35" s="128" t="s">
        <v>1398</v>
      </c>
    </row>
    <row r="36" spans="1:9" ht="63">
      <c r="A36" s="125" t="s">
        <v>676</v>
      </c>
      <c r="B36" s="129"/>
      <c r="C36" s="129"/>
      <c r="D36" s="20" t="s">
        <v>723</v>
      </c>
      <c r="E36" s="127">
        <v>0.4</v>
      </c>
      <c r="F36" s="20" t="s">
        <v>712</v>
      </c>
      <c r="G36" s="20" t="s">
        <v>713</v>
      </c>
      <c r="H36" s="20" t="s">
        <v>1426</v>
      </c>
      <c r="I36" s="128" t="s">
        <v>1398</v>
      </c>
    </row>
    <row r="37" spans="1:9" ht="63">
      <c r="A37" s="125" t="s">
        <v>677</v>
      </c>
      <c r="B37" s="129"/>
      <c r="C37" s="129"/>
      <c r="D37" s="20" t="s">
        <v>724</v>
      </c>
      <c r="E37" s="127">
        <v>8</v>
      </c>
      <c r="F37" s="20" t="s">
        <v>712</v>
      </c>
      <c r="G37" s="20" t="s">
        <v>713</v>
      </c>
      <c r="H37" s="20" t="s">
        <v>1426</v>
      </c>
      <c r="I37" s="128" t="s">
        <v>1398</v>
      </c>
    </row>
    <row r="38" spans="1:9" ht="63">
      <c r="A38" s="125" t="s">
        <v>678</v>
      </c>
      <c r="B38" s="129"/>
      <c r="C38" s="129"/>
      <c r="D38" s="20" t="s">
        <v>725</v>
      </c>
      <c r="E38" s="127">
        <v>1</v>
      </c>
      <c r="F38" s="20" t="s">
        <v>712</v>
      </c>
      <c r="G38" s="20" t="s">
        <v>713</v>
      </c>
      <c r="H38" s="20" t="s">
        <v>1426</v>
      </c>
      <c r="I38" s="128" t="s">
        <v>1398</v>
      </c>
    </row>
    <row r="39" spans="1:9" ht="78.75">
      <c r="A39" s="125" t="s">
        <v>679</v>
      </c>
      <c r="B39" s="129"/>
      <c r="C39" s="129"/>
      <c r="D39" s="20" t="s">
        <v>726</v>
      </c>
      <c r="E39" s="127">
        <v>1</v>
      </c>
      <c r="F39" s="20" t="s">
        <v>712</v>
      </c>
      <c r="G39" s="20" t="s">
        <v>713</v>
      </c>
      <c r="H39" s="20" t="s">
        <v>1426</v>
      </c>
      <c r="I39" s="128" t="s">
        <v>1398</v>
      </c>
    </row>
    <row r="40" spans="1:9" ht="63">
      <c r="A40" s="125" t="s">
        <v>714</v>
      </c>
      <c r="B40" s="129"/>
      <c r="C40" s="129"/>
      <c r="D40" s="20" t="s">
        <v>727</v>
      </c>
      <c r="E40" s="127">
        <v>1</v>
      </c>
      <c r="F40" s="20" t="s">
        <v>712</v>
      </c>
      <c r="G40" s="20" t="s">
        <v>713</v>
      </c>
      <c r="H40" s="20" t="s">
        <v>1426</v>
      </c>
      <c r="I40" s="128" t="s">
        <v>1398</v>
      </c>
    </row>
    <row r="41" spans="1:9" ht="63">
      <c r="A41" s="125" t="s">
        <v>715</v>
      </c>
      <c r="B41" s="129"/>
      <c r="C41" s="129"/>
      <c r="D41" s="20" t="s">
        <v>728</v>
      </c>
      <c r="E41" s="127">
        <v>0.25</v>
      </c>
      <c r="F41" s="20" t="s">
        <v>712</v>
      </c>
      <c r="G41" s="20" t="s">
        <v>713</v>
      </c>
      <c r="H41" s="20" t="s">
        <v>1426</v>
      </c>
      <c r="I41" s="128" t="s">
        <v>1398</v>
      </c>
    </row>
    <row r="42" spans="1:9" ht="63">
      <c r="A42" s="125" t="s">
        <v>716</v>
      </c>
      <c r="B42" s="129"/>
      <c r="C42" s="129"/>
      <c r="D42" s="20" t="s">
        <v>729</v>
      </c>
      <c r="E42" s="127">
        <v>0.5</v>
      </c>
      <c r="F42" s="20" t="s">
        <v>712</v>
      </c>
      <c r="G42" s="20" t="s">
        <v>713</v>
      </c>
      <c r="H42" s="20" t="s">
        <v>1426</v>
      </c>
      <c r="I42" s="128" t="s">
        <v>1398</v>
      </c>
    </row>
    <row r="43" spans="1:9" ht="63">
      <c r="A43" s="125" t="s">
        <v>717</v>
      </c>
      <c r="B43" s="129"/>
      <c r="C43" s="129"/>
      <c r="D43" s="20" t="s">
        <v>730</v>
      </c>
      <c r="E43" s="127">
        <v>1</v>
      </c>
      <c r="F43" s="20" t="s">
        <v>712</v>
      </c>
      <c r="G43" s="20" t="s">
        <v>713</v>
      </c>
      <c r="H43" s="20" t="s">
        <v>1426</v>
      </c>
      <c r="I43" s="128" t="s">
        <v>1398</v>
      </c>
    </row>
    <row r="44" spans="1:9" ht="78.75">
      <c r="A44" s="125" t="s">
        <v>718</v>
      </c>
      <c r="B44" s="129"/>
      <c r="C44" s="129"/>
      <c r="D44" s="20" t="s">
        <v>738</v>
      </c>
      <c r="E44" s="127">
        <v>0.25</v>
      </c>
      <c r="F44" s="124" t="s">
        <v>1401</v>
      </c>
      <c r="G44" s="20" t="s">
        <v>833</v>
      </c>
      <c r="H44" s="124" t="s">
        <v>1401</v>
      </c>
      <c r="I44" s="130" t="s">
        <v>1400</v>
      </c>
    </row>
    <row r="45" spans="1:9" ht="78.75">
      <c r="A45" s="125" t="s">
        <v>719</v>
      </c>
      <c r="B45" s="129"/>
      <c r="C45" s="129"/>
      <c r="D45" s="20" t="s">
        <v>739</v>
      </c>
      <c r="E45" s="127">
        <v>0.6</v>
      </c>
      <c r="F45" s="124" t="s">
        <v>1401</v>
      </c>
      <c r="G45" s="20" t="s">
        <v>833</v>
      </c>
      <c r="H45" s="124" t="s">
        <v>1401</v>
      </c>
      <c r="I45" s="130" t="s">
        <v>1400</v>
      </c>
    </row>
    <row r="46" spans="1:9" ht="78.75">
      <c r="A46" s="125" t="s">
        <v>720</v>
      </c>
      <c r="B46" s="129"/>
      <c r="C46" s="129"/>
      <c r="D46" s="20" t="s">
        <v>740</v>
      </c>
      <c r="E46" s="127">
        <v>0.5</v>
      </c>
      <c r="F46" s="124" t="s">
        <v>1401</v>
      </c>
      <c r="G46" s="20" t="s">
        <v>833</v>
      </c>
      <c r="H46" s="124" t="s">
        <v>1401</v>
      </c>
      <c r="I46" s="130" t="s">
        <v>1400</v>
      </c>
    </row>
    <row r="47" spans="1:9" ht="78.75">
      <c r="A47" s="125" t="s">
        <v>721</v>
      </c>
      <c r="B47" s="129"/>
      <c r="C47" s="129"/>
      <c r="D47" s="20" t="s">
        <v>741</v>
      </c>
      <c r="E47" s="127">
        <v>0.35</v>
      </c>
      <c r="F47" s="124" t="s">
        <v>1401</v>
      </c>
      <c r="G47" s="20" t="s">
        <v>833</v>
      </c>
      <c r="H47" s="124" t="s">
        <v>1401</v>
      </c>
      <c r="I47" s="130" t="s">
        <v>1400</v>
      </c>
    </row>
    <row r="48" spans="1:9" ht="78.75">
      <c r="A48" s="125" t="s">
        <v>722</v>
      </c>
      <c r="B48" s="129"/>
      <c r="C48" s="129"/>
      <c r="D48" s="20" t="s">
        <v>742</v>
      </c>
      <c r="E48" s="127">
        <v>0.2</v>
      </c>
      <c r="F48" s="124" t="s">
        <v>1401</v>
      </c>
      <c r="G48" s="20" t="s">
        <v>833</v>
      </c>
      <c r="H48" s="124" t="s">
        <v>1401</v>
      </c>
      <c r="I48" s="130" t="s">
        <v>1400</v>
      </c>
    </row>
    <row r="49" spans="1:9" ht="78.75">
      <c r="A49" s="125" t="s">
        <v>735</v>
      </c>
      <c r="B49" s="129"/>
      <c r="C49" s="129"/>
      <c r="D49" s="20" t="s">
        <v>743</v>
      </c>
      <c r="E49" s="127">
        <v>0.4</v>
      </c>
      <c r="F49" s="124" t="s">
        <v>1401</v>
      </c>
      <c r="G49" s="20" t="s">
        <v>833</v>
      </c>
      <c r="H49" s="124" t="s">
        <v>1401</v>
      </c>
      <c r="I49" s="130" t="s">
        <v>1400</v>
      </c>
    </row>
    <row r="50" spans="1:9" ht="78.75">
      <c r="A50" s="125" t="s">
        <v>736</v>
      </c>
      <c r="B50" s="129"/>
      <c r="C50" s="129"/>
      <c r="D50" s="20" t="s">
        <v>744</v>
      </c>
      <c r="E50" s="127">
        <v>0.15</v>
      </c>
      <c r="F50" s="124" t="s">
        <v>1401</v>
      </c>
      <c r="G50" s="20" t="s">
        <v>833</v>
      </c>
      <c r="H50" s="124" t="s">
        <v>1401</v>
      </c>
      <c r="I50" s="130" t="s">
        <v>1400</v>
      </c>
    </row>
    <row r="51" spans="1:9" ht="78.75">
      <c r="A51" s="125" t="s">
        <v>737</v>
      </c>
      <c r="B51" s="129"/>
      <c r="C51" s="129"/>
      <c r="D51" s="20" t="s">
        <v>745</v>
      </c>
      <c r="E51" s="127">
        <v>0.05</v>
      </c>
      <c r="F51" s="124" t="s">
        <v>1401</v>
      </c>
      <c r="G51" s="20" t="s">
        <v>833</v>
      </c>
      <c r="H51" s="124" t="s">
        <v>1401</v>
      </c>
      <c r="I51" s="130" t="s">
        <v>1400</v>
      </c>
    </row>
    <row r="52" spans="1:9" ht="63">
      <c r="A52" s="129"/>
      <c r="B52" s="129"/>
      <c r="C52" s="129"/>
      <c r="D52" s="20" t="s">
        <v>766</v>
      </c>
      <c r="E52" s="127">
        <v>14.22</v>
      </c>
      <c r="F52" s="124" t="s">
        <v>1403</v>
      </c>
      <c r="G52" s="20" t="s">
        <v>1478</v>
      </c>
      <c r="H52" s="124" t="s">
        <v>1403</v>
      </c>
      <c r="I52" s="131" t="s">
        <v>1398</v>
      </c>
    </row>
    <row r="53" spans="1:9" ht="63">
      <c r="A53" s="129"/>
      <c r="B53" s="129"/>
      <c r="C53" s="129"/>
      <c r="D53" s="20" t="s">
        <v>767</v>
      </c>
      <c r="E53" s="127">
        <v>13.96</v>
      </c>
      <c r="F53" s="124" t="s">
        <v>1403</v>
      </c>
      <c r="G53" s="20" t="s">
        <v>1478</v>
      </c>
      <c r="H53" s="124" t="s">
        <v>1403</v>
      </c>
      <c r="I53" s="131" t="s">
        <v>1398</v>
      </c>
    </row>
    <row r="54" spans="1:9" ht="63">
      <c r="A54" s="129"/>
      <c r="B54" s="129"/>
      <c r="C54" s="129"/>
      <c r="D54" s="20" t="s">
        <v>768</v>
      </c>
      <c r="E54" s="127">
        <v>0.05</v>
      </c>
      <c r="F54" s="124" t="s">
        <v>1403</v>
      </c>
      <c r="G54" s="20" t="s">
        <v>1478</v>
      </c>
      <c r="H54" s="124" t="s">
        <v>1403</v>
      </c>
      <c r="I54" s="131" t="s">
        <v>1398</v>
      </c>
    </row>
    <row r="55" spans="1:9" ht="63">
      <c r="A55" s="129"/>
      <c r="B55" s="129"/>
      <c r="C55" s="129"/>
      <c r="D55" s="20" t="s">
        <v>795</v>
      </c>
      <c r="E55" s="129">
        <v>0.5</v>
      </c>
      <c r="F55" s="124" t="s">
        <v>1403</v>
      </c>
      <c r="G55" s="20" t="s">
        <v>1480</v>
      </c>
      <c r="H55" s="124" t="s">
        <v>1403</v>
      </c>
      <c r="I55" s="131" t="s">
        <v>1398</v>
      </c>
    </row>
    <row r="56" spans="1:9" ht="63">
      <c r="A56" s="129"/>
      <c r="B56" s="129"/>
      <c r="C56" s="129"/>
      <c r="D56" s="20" t="s">
        <v>796</v>
      </c>
      <c r="E56" s="127">
        <v>1</v>
      </c>
      <c r="F56" s="124" t="s">
        <v>1403</v>
      </c>
      <c r="G56" s="20" t="s">
        <v>1480</v>
      </c>
      <c r="H56" s="124" t="s">
        <v>1403</v>
      </c>
      <c r="I56" s="131" t="s">
        <v>1398</v>
      </c>
    </row>
    <row r="57" spans="1:9" ht="78.75">
      <c r="A57" s="129"/>
      <c r="B57" s="129"/>
      <c r="C57" s="129"/>
      <c r="D57" s="20" t="s">
        <v>798</v>
      </c>
      <c r="E57" s="127">
        <v>0.5</v>
      </c>
      <c r="F57" s="124" t="s">
        <v>1403</v>
      </c>
      <c r="G57" s="20" t="s">
        <v>1480</v>
      </c>
      <c r="H57" s="124" t="s">
        <v>1403</v>
      </c>
      <c r="I57" s="131" t="s">
        <v>1398</v>
      </c>
    </row>
    <row r="58" spans="1:9" ht="63">
      <c r="A58" s="129"/>
      <c r="B58" s="129"/>
      <c r="C58" s="129"/>
      <c r="D58" s="20" t="s">
        <v>797</v>
      </c>
      <c r="E58" s="127">
        <v>10</v>
      </c>
      <c r="F58" s="124" t="s">
        <v>1403</v>
      </c>
      <c r="G58" s="20" t="s">
        <v>1480</v>
      </c>
      <c r="H58" s="124" t="s">
        <v>1403</v>
      </c>
      <c r="I58" s="131" t="s">
        <v>1398</v>
      </c>
    </row>
    <row r="59" spans="1:9" ht="63">
      <c r="A59" s="129"/>
      <c r="B59" s="129"/>
      <c r="C59" s="129"/>
      <c r="D59" s="20" t="s">
        <v>799</v>
      </c>
      <c r="E59" s="132">
        <v>1.5</v>
      </c>
      <c r="F59" s="124" t="s">
        <v>1403</v>
      </c>
      <c r="G59" s="20" t="s">
        <v>1480</v>
      </c>
      <c r="H59" s="124" t="s">
        <v>1403</v>
      </c>
      <c r="I59" s="131" t="s">
        <v>1398</v>
      </c>
    </row>
    <row r="60" spans="1:9" ht="63">
      <c r="A60" s="129"/>
      <c r="B60" s="129"/>
      <c r="C60" s="129"/>
      <c r="D60" s="20" t="s">
        <v>801</v>
      </c>
      <c r="E60" s="127">
        <v>2</v>
      </c>
      <c r="F60" s="124" t="s">
        <v>1403</v>
      </c>
      <c r="G60" s="20" t="s">
        <v>1480</v>
      </c>
      <c r="H60" s="124" t="s">
        <v>1403</v>
      </c>
      <c r="I60" s="131" t="s">
        <v>1398</v>
      </c>
    </row>
    <row r="61" spans="1:9" ht="63">
      <c r="A61" s="129"/>
      <c r="B61" s="129"/>
      <c r="C61" s="129"/>
      <c r="D61" s="20" t="s">
        <v>800</v>
      </c>
      <c r="E61" s="127">
        <v>0.5</v>
      </c>
      <c r="F61" s="124" t="s">
        <v>1403</v>
      </c>
      <c r="G61" s="20" t="s">
        <v>1480</v>
      </c>
      <c r="H61" s="124" t="s">
        <v>1403</v>
      </c>
      <c r="I61" s="131" t="s">
        <v>1398</v>
      </c>
    </row>
    <row r="62" spans="1:9" ht="63">
      <c r="A62" s="129"/>
      <c r="B62" s="129"/>
      <c r="C62" s="129"/>
      <c r="D62" s="20" t="s">
        <v>802</v>
      </c>
      <c r="E62" s="129">
        <v>0.5</v>
      </c>
      <c r="F62" s="124" t="s">
        <v>1403</v>
      </c>
      <c r="G62" s="20" t="s">
        <v>1480</v>
      </c>
      <c r="H62" s="124" t="s">
        <v>1403</v>
      </c>
      <c r="I62" s="131" t="s">
        <v>1398</v>
      </c>
    </row>
    <row r="63" spans="1:9" ht="63">
      <c r="A63" s="129"/>
      <c r="B63" s="129"/>
      <c r="C63" s="129"/>
      <c r="D63" s="20" t="s">
        <v>803</v>
      </c>
      <c r="E63" s="127">
        <v>0.75</v>
      </c>
      <c r="F63" s="124" t="s">
        <v>1403</v>
      </c>
      <c r="G63" s="20" t="s">
        <v>1480</v>
      </c>
      <c r="H63" s="124" t="s">
        <v>1403</v>
      </c>
      <c r="I63" s="131" t="s">
        <v>1398</v>
      </c>
    </row>
    <row r="64" spans="1:9" ht="78.75">
      <c r="A64" s="129"/>
      <c r="B64" s="129"/>
      <c r="C64" s="129"/>
      <c r="D64" s="133" t="s">
        <v>808</v>
      </c>
      <c r="E64" s="134">
        <v>1</v>
      </c>
      <c r="F64" s="124" t="s">
        <v>1401</v>
      </c>
      <c r="G64" s="20" t="s">
        <v>1482</v>
      </c>
      <c r="H64" s="124" t="s">
        <v>1401</v>
      </c>
      <c r="I64" s="124" t="s">
        <v>1398</v>
      </c>
    </row>
    <row r="65" spans="1:9" ht="78.75">
      <c r="A65" s="129"/>
      <c r="B65" s="129"/>
      <c r="C65" s="129"/>
      <c r="D65" s="133" t="s">
        <v>809</v>
      </c>
      <c r="E65" s="134">
        <v>7.5</v>
      </c>
      <c r="F65" s="124" t="s">
        <v>1401</v>
      </c>
      <c r="G65" s="20" t="s">
        <v>1482</v>
      </c>
      <c r="H65" s="124" t="s">
        <v>1401</v>
      </c>
      <c r="I65" s="124" t="s">
        <v>1398</v>
      </c>
    </row>
    <row r="66" spans="1:9" ht="78.75">
      <c r="A66" s="129"/>
      <c r="B66" s="129"/>
      <c r="C66" s="129"/>
      <c r="D66" s="133" t="s">
        <v>810</v>
      </c>
      <c r="E66" s="134">
        <v>3.65</v>
      </c>
      <c r="F66" s="124" t="s">
        <v>1401</v>
      </c>
      <c r="G66" s="20" t="s">
        <v>1482</v>
      </c>
      <c r="H66" s="124" t="s">
        <v>1401</v>
      </c>
      <c r="I66" s="124" t="s">
        <v>1398</v>
      </c>
    </row>
    <row r="67" spans="1:9" ht="78.75">
      <c r="A67" s="129"/>
      <c r="B67" s="129"/>
      <c r="C67" s="129"/>
      <c r="D67" s="133" t="s">
        <v>811</v>
      </c>
      <c r="E67" s="134">
        <v>3</v>
      </c>
      <c r="F67" s="124" t="s">
        <v>1401</v>
      </c>
      <c r="G67" s="20" t="s">
        <v>1482</v>
      </c>
      <c r="H67" s="124" t="s">
        <v>1401</v>
      </c>
      <c r="I67" s="124" t="s">
        <v>1398</v>
      </c>
    </row>
    <row r="68" spans="1:9" ht="78.75">
      <c r="A68" s="129"/>
      <c r="B68" s="129"/>
      <c r="C68" s="129"/>
      <c r="D68" s="133" t="s">
        <v>812</v>
      </c>
      <c r="E68" s="134">
        <v>2.5</v>
      </c>
      <c r="F68" s="124" t="s">
        <v>1401</v>
      </c>
      <c r="G68" s="20" t="s">
        <v>1482</v>
      </c>
      <c r="H68" s="124" t="s">
        <v>1401</v>
      </c>
      <c r="I68" s="124" t="s">
        <v>1398</v>
      </c>
    </row>
    <row r="69" spans="1:9" ht="78.75">
      <c r="A69" s="129"/>
      <c r="B69" s="129"/>
      <c r="C69" s="129"/>
      <c r="D69" s="133" t="s">
        <v>813</v>
      </c>
      <c r="E69" s="134">
        <v>2.5</v>
      </c>
      <c r="F69" s="124" t="s">
        <v>1401</v>
      </c>
      <c r="G69" s="20" t="s">
        <v>1482</v>
      </c>
      <c r="H69" s="124" t="s">
        <v>1401</v>
      </c>
      <c r="I69" s="124" t="s">
        <v>1398</v>
      </c>
    </row>
    <row r="70" spans="1:9" ht="78.75">
      <c r="A70" s="129"/>
      <c r="B70" s="129"/>
      <c r="C70" s="129"/>
      <c r="D70" s="133" t="s">
        <v>814</v>
      </c>
      <c r="E70" s="134">
        <v>1</v>
      </c>
      <c r="F70" s="124" t="s">
        <v>1401</v>
      </c>
      <c r="G70" s="20" t="s">
        <v>1482</v>
      </c>
      <c r="H70" s="124" t="s">
        <v>1401</v>
      </c>
      <c r="I70" s="124" t="s">
        <v>1398</v>
      </c>
    </row>
    <row r="71" spans="1:9" ht="78.75">
      <c r="A71" s="129"/>
      <c r="B71" s="129"/>
      <c r="C71" s="129"/>
      <c r="D71" s="133" t="s">
        <v>815</v>
      </c>
      <c r="E71" s="134">
        <v>1</v>
      </c>
      <c r="F71" s="124" t="s">
        <v>1401</v>
      </c>
      <c r="G71" s="20" t="s">
        <v>1482</v>
      </c>
      <c r="H71" s="124" t="s">
        <v>1401</v>
      </c>
      <c r="I71" s="124" t="s">
        <v>1398</v>
      </c>
    </row>
    <row r="72" spans="1:9" ht="78.75">
      <c r="A72" s="129"/>
      <c r="B72" s="129"/>
      <c r="C72" s="129"/>
      <c r="D72" s="133" t="s">
        <v>816</v>
      </c>
      <c r="E72" s="134">
        <v>0.76475000000000004</v>
      </c>
      <c r="F72" s="124" t="s">
        <v>1401</v>
      </c>
      <c r="G72" s="20" t="s">
        <v>1482</v>
      </c>
      <c r="H72" s="124" t="s">
        <v>1401</v>
      </c>
      <c r="I72" s="124" t="s">
        <v>1398</v>
      </c>
    </row>
    <row r="73" spans="1:9" ht="78.75">
      <c r="A73" s="129"/>
      <c r="B73" s="129"/>
      <c r="C73" s="129"/>
      <c r="D73" s="133" t="s">
        <v>817</v>
      </c>
      <c r="E73" s="134">
        <v>0.5</v>
      </c>
      <c r="F73" s="124" t="s">
        <v>1401</v>
      </c>
      <c r="G73" s="20" t="s">
        <v>1482</v>
      </c>
      <c r="H73" s="124" t="s">
        <v>1401</v>
      </c>
      <c r="I73" s="124" t="s">
        <v>1398</v>
      </c>
    </row>
    <row r="74" spans="1:9" ht="78.75">
      <c r="A74" s="129"/>
      <c r="B74" s="129"/>
      <c r="C74" s="129"/>
      <c r="D74" s="135" t="s">
        <v>818</v>
      </c>
      <c r="E74" s="136">
        <v>0.5</v>
      </c>
      <c r="F74" s="124" t="s">
        <v>1401</v>
      </c>
      <c r="G74" s="20" t="s">
        <v>1481</v>
      </c>
      <c r="H74" s="124" t="s">
        <v>1401</v>
      </c>
      <c r="I74" s="124" t="s">
        <v>1398</v>
      </c>
    </row>
    <row r="75" spans="1:9" ht="78.75">
      <c r="A75" s="129"/>
      <c r="B75" s="129"/>
      <c r="C75" s="129"/>
      <c r="D75" s="135" t="s">
        <v>819</v>
      </c>
      <c r="E75" s="136">
        <v>0.5</v>
      </c>
      <c r="F75" s="124" t="s">
        <v>1401</v>
      </c>
      <c r="G75" s="20" t="s">
        <v>1481</v>
      </c>
      <c r="H75" s="124" t="s">
        <v>1401</v>
      </c>
      <c r="I75" s="124" t="s">
        <v>1398</v>
      </c>
    </row>
    <row r="76" spans="1:9" ht="78.75">
      <c r="A76" s="129"/>
      <c r="B76" s="129"/>
      <c r="C76" s="129"/>
      <c r="D76" s="137" t="s">
        <v>1461</v>
      </c>
      <c r="E76" s="136">
        <v>0.5</v>
      </c>
      <c r="F76" s="124" t="s">
        <v>1401</v>
      </c>
      <c r="G76" s="20" t="s">
        <v>1481</v>
      </c>
      <c r="H76" s="124" t="s">
        <v>1401</v>
      </c>
      <c r="I76" s="124" t="s">
        <v>1398</v>
      </c>
    </row>
    <row r="77" spans="1:9" ht="78.75">
      <c r="A77" s="129"/>
      <c r="B77" s="129"/>
      <c r="C77" s="129"/>
      <c r="D77" s="20" t="s">
        <v>822</v>
      </c>
      <c r="E77" s="127">
        <v>1.1000000000000001</v>
      </c>
      <c r="F77" s="124" t="s">
        <v>1401</v>
      </c>
      <c r="G77" s="20" t="s">
        <v>1481</v>
      </c>
      <c r="H77" s="124" t="s">
        <v>1401</v>
      </c>
      <c r="I77" s="124" t="s">
        <v>1398</v>
      </c>
    </row>
    <row r="78" spans="1:9" ht="78.75">
      <c r="A78" s="129"/>
      <c r="B78" s="129"/>
      <c r="C78" s="129"/>
      <c r="D78" s="138" t="s">
        <v>823</v>
      </c>
      <c r="E78" s="127">
        <v>2</v>
      </c>
      <c r="F78" s="124" t="s">
        <v>1401</v>
      </c>
      <c r="G78" s="20" t="s">
        <v>1481</v>
      </c>
      <c r="H78" s="124" t="s">
        <v>1401</v>
      </c>
      <c r="I78" s="124" t="s">
        <v>1398</v>
      </c>
    </row>
    <row r="79" spans="1:9" ht="78.75">
      <c r="A79" s="129"/>
      <c r="B79" s="129"/>
      <c r="C79" s="129"/>
      <c r="D79" s="139" t="s">
        <v>824</v>
      </c>
      <c r="E79" s="127">
        <v>1</v>
      </c>
      <c r="F79" s="124" t="s">
        <v>1401</v>
      </c>
      <c r="G79" s="20" t="s">
        <v>1481</v>
      </c>
      <c r="H79" s="124" t="s">
        <v>1401</v>
      </c>
      <c r="I79" s="124" t="s">
        <v>1398</v>
      </c>
    </row>
    <row r="80" spans="1:9" ht="78.75">
      <c r="A80" s="129"/>
      <c r="B80" s="129"/>
      <c r="C80" s="129"/>
      <c r="D80" s="139" t="s">
        <v>825</v>
      </c>
      <c r="E80" s="127">
        <v>1.5</v>
      </c>
      <c r="F80" s="124" t="s">
        <v>1401</v>
      </c>
      <c r="G80" s="20" t="s">
        <v>1481</v>
      </c>
      <c r="H80" s="124" t="s">
        <v>1401</v>
      </c>
      <c r="I80" s="124" t="s">
        <v>1398</v>
      </c>
    </row>
    <row r="81" spans="1:9" ht="78.75">
      <c r="A81" s="129"/>
      <c r="B81" s="129"/>
      <c r="C81" s="129"/>
      <c r="D81" s="20" t="s">
        <v>826</v>
      </c>
      <c r="E81" s="127">
        <v>5.5</v>
      </c>
      <c r="F81" s="124" t="s">
        <v>1401</v>
      </c>
      <c r="G81" s="20" t="s">
        <v>1481</v>
      </c>
      <c r="H81" s="124" t="s">
        <v>1401</v>
      </c>
      <c r="I81" s="124" t="s">
        <v>1398</v>
      </c>
    </row>
    <row r="82" spans="1:9" ht="78.75">
      <c r="A82" s="129"/>
      <c r="B82" s="129"/>
      <c r="C82" s="129"/>
      <c r="D82" s="139" t="s">
        <v>827</v>
      </c>
      <c r="E82" s="127">
        <v>2.2799999999999998</v>
      </c>
      <c r="F82" s="124" t="s">
        <v>1401</v>
      </c>
      <c r="G82" s="20" t="s">
        <v>1481</v>
      </c>
      <c r="H82" s="124" t="s">
        <v>1401</v>
      </c>
      <c r="I82" s="124" t="s">
        <v>1398</v>
      </c>
    </row>
    <row r="83" spans="1:9" ht="78.75">
      <c r="A83" s="129"/>
      <c r="B83" s="129"/>
      <c r="C83" s="129"/>
      <c r="D83" s="139" t="s">
        <v>828</v>
      </c>
      <c r="E83" s="127">
        <v>1</v>
      </c>
      <c r="F83" s="124" t="s">
        <v>1401</v>
      </c>
      <c r="G83" s="20" t="s">
        <v>1481</v>
      </c>
      <c r="H83" s="124" t="s">
        <v>1401</v>
      </c>
      <c r="I83" s="124" t="s">
        <v>1398</v>
      </c>
    </row>
    <row r="84" spans="1:9" ht="78.75">
      <c r="A84" s="129"/>
      <c r="B84" s="129"/>
      <c r="C84" s="129"/>
      <c r="D84" s="139" t="s">
        <v>829</v>
      </c>
      <c r="E84" s="127">
        <v>0.5</v>
      </c>
      <c r="F84" s="124" t="s">
        <v>1401</v>
      </c>
      <c r="G84" s="20" t="s">
        <v>1481</v>
      </c>
      <c r="H84" s="124" t="s">
        <v>1401</v>
      </c>
      <c r="I84" s="124" t="s">
        <v>1398</v>
      </c>
    </row>
    <row r="85" spans="1:9" ht="78.75">
      <c r="A85" s="129"/>
      <c r="B85" s="129"/>
      <c r="C85" s="129"/>
      <c r="D85" s="137" t="s">
        <v>1462</v>
      </c>
      <c r="E85" s="127">
        <v>1</v>
      </c>
      <c r="F85" s="124" t="s">
        <v>1401</v>
      </c>
      <c r="G85" s="20" t="s">
        <v>1481</v>
      </c>
      <c r="H85" s="124" t="s">
        <v>1401</v>
      </c>
      <c r="I85" s="124" t="s">
        <v>1398</v>
      </c>
    </row>
    <row r="86" spans="1:9" ht="78.75">
      <c r="A86" s="129"/>
      <c r="B86" s="129"/>
      <c r="C86" s="129"/>
      <c r="D86" s="139" t="s">
        <v>830</v>
      </c>
      <c r="E86" s="127">
        <v>0.25</v>
      </c>
      <c r="F86" s="124" t="s">
        <v>1401</v>
      </c>
      <c r="G86" s="20" t="s">
        <v>1481</v>
      </c>
      <c r="H86" s="124" t="s">
        <v>1401</v>
      </c>
      <c r="I86" s="124" t="s">
        <v>1398</v>
      </c>
    </row>
    <row r="87" spans="1:9" ht="78.75">
      <c r="A87" s="129"/>
      <c r="B87" s="129"/>
      <c r="C87" s="129"/>
      <c r="D87" s="137" t="s">
        <v>1463</v>
      </c>
      <c r="E87" s="127">
        <v>6</v>
      </c>
      <c r="F87" s="124" t="s">
        <v>1401</v>
      </c>
      <c r="G87" s="20" t="s">
        <v>1481</v>
      </c>
      <c r="H87" s="124" t="s">
        <v>1401</v>
      </c>
      <c r="I87" s="124" t="s">
        <v>1398</v>
      </c>
    </row>
    <row r="88" spans="1:9" ht="78.75">
      <c r="A88" s="129"/>
      <c r="B88" s="129"/>
      <c r="C88" s="129"/>
      <c r="D88" s="137" t="s">
        <v>1464</v>
      </c>
      <c r="E88" s="127">
        <v>0.5</v>
      </c>
      <c r="F88" s="124" t="s">
        <v>1401</v>
      </c>
      <c r="G88" s="20" t="s">
        <v>1481</v>
      </c>
      <c r="H88" s="124" t="s">
        <v>1401</v>
      </c>
      <c r="I88" s="124" t="s">
        <v>1398</v>
      </c>
    </row>
    <row r="89" spans="1:9" ht="78.75">
      <c r="A89" s="129"/>
      <c r="B89" s="129"/>
      <c r="C89" s="129"/>
      <c r="D89" s="137" t="s">
        <v>1465</v>
      </c>
      <c r="E89" s="127">
        <v>0.5</v>
      </c>
      <c r="F89" s="124" t="s">
        <v>1401</v>
      </c>
      <c r="G89" s="20" t="s">
        <v>1481</v>
      </c>
      <c r="H89" s="124" t="s">
        <v>1401</v>
      </c>
      <c r="I89" s="124" t="s">
        <v>1398</v>
      </c>
    </row>
    <row r="90" spans="1:9" ht="78.75">
      <c r="A90" s="129"/>
      <c r="B90" s="129"/>
      <c r="C90" s="129"/>
      <c r="D90" s="137" t="s">
        <v>831</v>
      </c>
      <c r="E90" s="127">
        <v>1.5</v>
      </c>
      <c r="F90" s="124" t="s">
        <v>1401</v>
      </c>
      <c r="G90" s="20" t="s">
        <v>1481</v>
      </c>
      <c r="H90" s="124" t="s">
        <v>1401</v>
      </c>
      <c r="I90" s="124" t="s">
        <v>1398</v>
      </c>
    </row>
    <row r="91" spans="1:9" ht="63">
      <c r="A91" s="129"/>
      <c r="B91" s="129"/>
      <c r="C91" s="129"/>
      <c r="D91" s="20" t="s">
        <v>837</v>
      </c>
      <c r="E91" s="140">
        <v>1</v>
      </c>
      <c r="F91" s="133" t="s">
        <v>833</v>
      </c>
      <c r="G91" s="133" t="s">
        <v>833</v>
      </c>
      <c r="H91" s="124" t="s">
        <v>1401</v>
      </c>
      <c r="I91" s="124" t="s">
        <v>1398</v>
      </c>
    </row>
    <row r="92" spans="1:9" ht="78.75">
      <c r="A92" s="129"/>
      <c r="B92" s="129"/>
      <c r="C92" s="129"/>
      <c r="D92" s="20" t="s">
        <v>838</v>
      </c>
      <c r="E92" s="127">
        <v>0.8</v>
      </c>
      <c r="F92" s="124" t="s">
        <v>1401</v>
      </c>
      <c r="G92" s="133" t="s">
        <v>833</v>
      </c>
      <c r="H92" s="124" t="s">
        <v>1401</v>
      </c>
      <c r="I92" s="124" t="s">
        <v>1398</v>
      </c>
    </row>
    <row r="93" spans="1:9" ht="78.75">
      <c r="A93" s="129"/>
      <c r="B93" s="129"/>
      <c r="C93" s="129"/>
      <c r="D93" s="20" t="s">
        <v>839</v>
      </c>
      <c r="E93" s="127">
        <v>0.6</v>
      </c>
      <c r="F93" s="124" t="s">
        <v>1401</v>
      </c>
      <c r="G93" s="133" t="s">
        <v>833</v>
      </c>
      <c r="H93" s="124" t="s">
        <v>1401</v>
      </c>
      <c r="I93" s="124" t="s">
        <v>1398</v>
      </c>
    </row>
    <row r="94" spans="1:9" ht="78.75">
      <c r="A94" s="129"/>
      <c r="B94" s="129"/>
      <c r="C94" s="129"/>
      <c r="D94" s="20" t="s">
        <v>840</v>
      </c>
      <c r="E94" s="127">
        <v>2.5</v>
      </c>
      <c r="F94" s="124" t="s">
        <v>1401</v>
      </c>
      <c r="G94" s="133" t="s">
        <v>833</v>
      </c>
      <c r="H94" s="124" t="s">
        <v>1401</v>
      </c>
      <c r="I94" s="124" t="s">
        <v>1398</v>
      </c>
    </row>
    <row r="95" spans="1:9" ht="78.75">
      <c r="A95" s="129"/>
      <c r="B95" s="129"/>
      <c r="C95" s="129"/>
      <c r="D95" s="141" t="s">
        <v>841</v>
      </c>
      <c r="E95" s="127">
        <v>1</v>
      </c>
      <c r="F95" s="124" t="s">
        <v>1401</v>
      </c>
      <c r="G95" s="133" t="s">
        <v>833</v>
      </c>
      <c r="H95" s="124" t="s">
        <v>1401</v>
      </c>
      <c r="I95" s="124" t="s">
        <v>1398</v>
      </c>
    </row>
    <row r="96" spans="1:9" ht="78.75">
      <c r="A96" s="129"/>
      <c r="B96" s="129"/>
      <c r="C96" s="129"/>
      <c r="D96" s="141" t="s">
        <v>842</v>
      </c>
      <c r="E96" s="127">
        <v>1</v>
      </c>
      <c r="F96" s="124" t="s">
        <v>1401</v>
      </c>
      <c r="G96" s="133" t="s">
        <v>833</v>
      </c>
      <c r="H96" s="124" t="s">
        <v>1401</v>
      </c>
      <c r="I96" s="124" t="s">
        <v>1398</v>
      </c>
    </row>
    <row r="97" spans="1:9" ht="78.75">
      <c r="A97" s="129"/>
      <c r="B97" s="129"/>
      <c r="C97" s="129"/>
      <c r="D97" s="141" t="s">
        <v>843</v>
      </c>
      <c r="E97" s="127">
        <v>12.5</v>
      </c>
      <c r="F97" s="124" t="s">
        <v>1401</v>
      </c>
      <c r="G97" s="133" t="s">
        <v>833</v>
      </c>
      <c r="H97" s="124" t="s">
        <v>1401</v>
      </c>
      <c r="I97" s="124" t="s">
        <v>1398</v>
      </c>
    </row>
    <row r="98" spans="1:9" ht="78.75">
      <c r="A98" s="129"/>
      <c r="B98" s="129"/>
      <c r="C98" s="129"/>
      <c r="D98" s="141" t="s">
        <v>844</v>
      </c>
      <c r="E98" s="127">
        <v>1.25</v>
      </c>
      <c r="F98" s="124" t="s">
        <v>1401</v>
      </c>
      <c r="G98" s="133" t="s">
        <v>833</v>
      </c>
      <c r="H98" s="124" t="s">
        <v>1401</v>
      </c>
      <c r="I98" s="124" t="s">
        <v>1398</v>
      </c>
    </row>
    <row r="99" spans="1:9" ht="78.75">
      <c r="A99" s="129"/>
      <c r="B99" s="129"/>
      <c r="C99" s="129"/>
      <c r="D99" s="141" t="s">
        <v>845</v>
      </c>
      <c r="E99" s="127">
        <v>0.25</v>
      </c>
      <c r="F99" s="124" t="s">
        <v>1401</v>
      </c>
      <c r="G99" s="133" t="s">
        <v>833</v>
      </c>
      <c r="H99" s="124" t="s">
        <v>1401</v>
      </c>
      <c r="I99" s="124" t="s">
        <v>1398</v>
      </c>
    </row>
    <row r="100" spans="1:9" ht="78.75">
      <c r="A100" s="129"/>
      <c r="B100" s="129"/>
      <c r="C100" s="129"/>
      <c r="D100" s="141" t="s">
        <v>846</v>
      </c>
      <c r="E100" s="127">
        <v>1</v>
      </c>
      <c r="F100" s="124" t="s">
        <v>1401</v>
      </c>
      <c r="G100" s="133" t="s">
        <v>833</v>
      </c>
      <c r="H100" s="124" t="s">
        <v>1401</v>
      </c>
      <c r="I100" s="124" t="s">
        <v>1398</v>
      </c>
    </row>
    <row r="101" spans="1:9" ht="78.75">
      <c r="A101" s="129"/>
      <c r="B101" s="129"/>
      <c r="C101" s="129"/>
      <c r="D101" s="141" t="s">
        <v>847</v>
      </c>
      <c r="E101" s="127">
        <v>1</v>
      </c>
      <c r="F101" s="124" t="s">
        <v>1401</v>
      </c>
      <c r="G101" s="133" t="s">
        <v>833</v>
      </c>
      <c r="H101" s="124" t="s">
        <v>1401</v>
      </c>
      <c r="I101" s="124" t="s">
        <v>1398</v>
      </c>
    </row>
    <row r="102" spans="1:9" ht="78.75">
      <c r="A102" s="129"/>
      <c r="B102" s="129"/>
      <c r="C102" s="129"/>
      <c r="D102" s="142" t="s">
        <v>848</v>
      </c>
      <c r="E102" s="127">
        <v>0.3</v>
      </c>
      <c r="F102" s="124" t="s">
        <v>1401</v>
      </c>
      <c r="G102" s="133" t="s">
        <v>833</v>
      </c>
      <c r="H102" s="124" t="s">
        <v>1401</v>
      </c>
      <c r="I102" s="124" t="s">
        <v>1398</v>
      </c>
    </row>
    <row r="103" spans="1:9" ht="78.75">
      <c r="A103" s="129"/>
      <c r="B103" s="129"/>
      <c r="C103" s="129"/>
      <c r="D103" s="141" t="s">
        <v>849</v>
      </c>
      <c r="E103" s="127">
        <v>0.25</v>
      </c>
      <c r="F103" s="124" t="s">
        <v>1401</v>
      </c>
      <c r="G103" s="133" t="s">
        <v>833</v>
      </c>
      <c r="H103" s="124" t="s">
        <v>1401</v>
      </c>
      <c r="I103" s="124" t="s">
        <v>1398</v>
      </c>
    </row>
    <row r="104" spans="1:9" ht="78.75">
      <c r="A104" s="129"/>
      <c r="B104" s="129"/>
      <c r="C104" s="129"/>
      <c r="D104" s="141" t="s">
        <v>850</v>
      </c>
      <c r="E104" s="127">
        <v>0.1</v>
      </c>
      <c r="F104" s="124" t="s">
        <v>1401</v>
      </c>
      <c r="G104" s="133" t="s">
        <v>833</v>
      </c>
      <c r="H104" s="124" t="s">
        <v>1401</v>
      </c>
      <c r="I104" s="124" t="s">
        <v>1398</v>
      </c>
    </row>
    <row r="105" spans="1:9" ht="78.75">
      <c r="A105" s="129"/>
      <c r="B105" s="129"/>
      <c r="C105" s="129"/>
      <c r="D105" s="133" t="s">
        <v>851</v>
      </c>
      <c r="E105" s="129">
        <v>1</v>
      </c>
      <c r="F105" s="124" t="s">
        <v>1401</v>
      </c>
      <c r="G105" s="20" t="s">
        <v>863</v>
      </c>
      <c r="H105" s="124" t="s">
        <v>1401</v>
      </c>
      <c r="I105" s="124" t="s">
        <v>1398</v>
      </c>
    </row>
    <row r="106" spans="1:9" ht="78.75">
      <c r="A106" s="129"/>
      <c r="B106" s="129"/>
      <c r="C106" s="129"/>
      <c r="D106" s="143" t="s">
        <v>852</v>
      </c>
      <c r="E106" s="140">
        <v>2</v>
      </c>
      <c r="F106" s="124" t="s">
        <v>1401</v>
      </c>
      <c r="G106" s="20" t="s">
        <v>863</v>
      </c>
      <c r="H106" s="124" t="s">
        <v>1401</v>
      </c>
      <c r="I106" s="124" t="s">
        <v>1398</v>
      </c>
    </row>
    <row r="107" spans="1:9" ht="78.75">
      <c r="A107" s="129"/>
      <c r="B107" s="129"/>
      <c r="C107" s="129"/>
      <c r="D107" s="143" t="s">
        <v>853</v>
      </c>
      <c r="E107" s="140">
        <v>1</v>
      </c>
      <c r="F107" s="124" t="s">
        <v>1401</v>
      </c>
      <c r="G107" s="20" t="s">
        <v>863</v>
      </c>
      <c r="H107" s="124" t="s">
        <v>1401</v>
      </c>
      <c r="I107" s="124" t="s">
        <v>1398</v>
      </c>
    </row>
    <row r="108" spans="1:9" ht="78.75">
      <c r="A108" s="129"/>
      <c r="B108" s="129"/>
      <c r="C108" s="129"/>
      <c r="D108" s="143" t="s">
        <v>854</v>
      </c>
      <c r="E108" s="140">
        <v>7.5</v>
      </c>
      <c r="F108" s="124" t="s">
        <v>1401</v>
      </c>
      <c r="G108" s="20" t="s">
        <v>863</v>
      </c>
      <c r="H108" s="124" t="s">
        <v>1401</v>
      </c>
      <c r="I108" s="124" t="s">
        <v>1398</v>
      </c>
    </row>
    <row r="109" spans="1:9" ht="78.75">
      <c r="A109" s="129"/>
      <c r="B109" s="129"/>
      <c r="C109" s="129"/>
      <c r="D109" s="143" t="s">
        <v>855</v>
      </c>
      <c r="E109" s="140">
        <v>0.5</v>
      </c>
      <c r="F109" s="124" t="s">
        <v>1401</v>
      </c>
      <c r="G109" s="20" t="s">
        <v>863</v>
      </c>
      <c r="H109" s="124" t="s">
        <v>1401</v>
      </c>
      <c r="I109" s="124" t="s">
        <v>1398</v>
      </c>
    </row>
    <row r="110" spans="1:9" ht="78.75">
      <c r="A110" s="129"/>
      <c r="B110" s="129"/>
      <c r="C110" s="129"/>
      <c r="D110" s="143" t="s">
        <v>856</v>
      </c>
      <c r="E110" s="140">
        <v>0.88</v>
      </c>
      <c r="F110" s="124" t="s">
        <v>1401</v>
      </c>
      <c r="G110" s="20" t="s">
        <v>863</v>
      </c>
      <c r="H110" s="124" t="s">
        <v>1401</v>
      </c>
      <c r="I110" s="124" t="s">
        <v>1398</v>
      </c>
    </row>
    <row r="111" spans="1:9" ht="78.75">
      <c r="A111" s="129"/>
      <c r="B111" s="129"/>
      <c r="C111" s="129"/>
      <c r="D111" s="143" t="s">
        <v>857</v>
      </c>
      <c r="E111" s="140">
        <v>0.46</v>
      </c>
      <c r="F111" s="124" t="s">
        <v>1401</v>
      </c>
      <c r="G111" s="20" t="s">
        <v>863</v>
      </c>
      <c r="H111" s="124" t="s">
        <v>1401</v>
      </c>
      <c r="I111" s="124" t="s">
        <v>1398</v>
      </c>
    </row>
    <row r="112" spans="1:9" ht="78.75">
      <c r="A112" s="129"/>
      <c r="B112" s="129"/>
      <c r="C112" s="129"/>
      <c r="D112" s="143" t="s">
        <v>858</v>
      </c>
      <c r="E112" s="140">
        <v>2</v>
      </c>
      <c r="F112" s="124" t="s">
        <v>1401</v>
      </c>
      <c r="G112" s="20" t="s">
        <v>863</v>
      </c>
      <c r="H112" s="124" t="s">
        <v>1401</v>
      </c>
      <c r="I112" s="124" t="s">
        <v>1398</v>
      </c>
    </row>
    <row r="113" spans="1:9" ht="78.75">
      <c r="A113" s="129"/>
      <c r="B113" s="129"/>
      <c r="C113" s="129"/>
      <c r="D113" s="143" t="s">
        <v>859</v>
      </c>
      <c r="E113" s="140">
        <v>0.8</v>
      </c>
      <c r="F113" s="124" t="s">
        <v>1401</v>
      </c>
      <c r="G113" s="20" t="s">
        <v>863</v>
      </c>
      <c r="H113" s="124" t="s">
        <v>1401</v>
      </c>
      <c r="I113" s="124" t="s">
        <v>1398</v>
      </c>
    </row>
    <row r="114" spans="1:9" ht="78.75">
      <c r="A114" s="129"/>
      <c r="B114" s="129"/>
      <c r="C114" s="129"/>
      <c r="D114" s="143" t="s">
        <v>860</v>
      </c>
      <c r="E114" s="140">
        <v>0.6</v>
      </c>
      <c r="F114" s="124" t="s">
        <v>1401</v>
      </c>
      <c r="G114" s="20" t="s">
        <v>863</v>
      </c>
      <c r="H114" s="124" t="s">
        <v>1401</v>
      </c>
      <c r="I114" s="124" t="s">
        <v>1398</v>
      </c>
    </row>
    <row r="115" spans="1:9" ht="78.75">
      <c r="A115" s="129"/>
      <c r="B115" s="129"/>
      <c r="C115" s="129"/>
      <c r="D115" s="143" t="s">
        <v>861</v>
      </c>
      <c r="E115" s="140">
        <v>0.5</v>
      </c>
      <c r="F115" s="124" t="s">
        <v>1401</v>
      </c>
      <c r="G115" s="20" t="s">
        <v>863</v>
      </c>
      <c r="H115" s="124" t="s">
        <v>1401</v>
      </c>
      <c r="I115" s="124" t="s">
        <v>1398</v>
      </c>
    </row>
    <row r="116" spans="1:9" ht="78.75">
      <c r="A116" s="129"/>
      <c r="B116" s="129"/>
      <c r="C116" s="129"/>
      <c r="D116" s="144" t="s">
        <v>886</v>
      </c>
      <c r="E116" s="145">
        <v>1.5</v>
      </c>
      <c r="F116" s="124" t="s">
        <v>1401</v>
      </c>
      <c r="G116" s="20" t="s">
        <v>783</v>
      </c>
      <c r="H116" s="124" t="s">
        <v>1401</v>
      </c>
      <c r="I116" s="124" t="s">
        <v>1398</v>
      </c>
    </row>
    <row r="117" spans="1:9" ht="78.75">
      <c r="A117" s="129"/>
      <c r="B117" s="129"/>
      <c r="C117" s="129"/>
      <c r="D117" s="144" t="s">
        <v>887</v>
      </c>
      <c r="E117" s="145">
        <v>3</v>
      </c>
      <c r="F117" s="124" t="s">
        <v>1401</v>
      </c>
      <c r="G117" s="20" t="s">
        <v>1484</v>
      </c>
      <c r="H117" s="124" t="s">
        <v>1401</v>
      </c>
      <c r="I117" s="124" t="s">
        <v>1398</v>
      </c>
    </row>
    <row r="118" spans="1:9" ht="78.75">
      <c r="A118" s="129"/>
      <c r="B118" s="129"/>
      <c r="C118" s="129"/>
      <c r="D118" s="144" t="s">
        <v>876</v>
      </c>
      <c r="E118" s="145">
        <v>0.5</v>
      </c>
      <c r="F118" s="124" t="s">
        <v>1401</v>
      </c>
      <c r="G118" s="20" t="s">
        <v>1484</v>
      </c>
      <c r="H118" s="124" t="s">
        <v>1401</v>
      </c>
      <c r="I118" s="124" t="s">
        <v>1398</v>
      </c>
    </row>
    <row r="119" spans="1:9" ht="78.75">
      <c r="A119" s="129"/>
      <c r="B119" s="129"/>
      <c r="C119" s="129"/>
      <c r="D119" s="144" t="s">
        <v>877</v>
      </c>
      <c r="E119" s="145">
        <v>0.5</v>
      </c>
      <c r="F119" s="124" t="s">
        <v>1401</v>
      </c>
      <c r="G119" s="20" t="s">
        <v>1484</v>
      </c>
      <c r="H119" s="124" t="s">
        <v>1401</v>
      </c>
      <c r="I119" s="124" t="s">
        <v>1398</v>
      </c>
    </row>
    <row r="120" spans="1:9" ht="78.75">
      <c r="A120" s="129"/>
      <c r="B120" s="129"/>
      <c r="C120" s="129"/>
      <c r="D120" s="144" t="s">
        <v>878</v>
      </c>
      <c r="E120" s="145">
        <v>1</v>
      </c>
      <c r="F120" s="124" t="s">
        <v>1401</v>
      </c>
      <c r="G120" s="20" t="s">
        <v>1484</v>
      </c>
      <c r="H120" s="124" t="s">
        <v>1401</v>
      </c>
      <c r="I120" s="124" t="s">
        <v>1398</v>
      </c>
    </row>
    <row r="121" spans="1:9" ht="78.75">
      <c r="A121" s="129"/>
      <c r="B121" s="129"/>
      <c r="C121" s="129"/>
      <c r="D121" s="144" t="s">
        <v>879</v>
      </c>
      <c r="E121" s="146">
        <v>1.25</v>
      </c>
      <c r="F121" s="124" t="s">
        <v>1401</v>
      </c>
      <c r="G121" s="20" t="s">
        <v>1484</v>
      </c>
      <c r="H121" s="124" t="s">
        <v>1401</v>
      </c>
      <c r="I121" s="124" t="s">
        <v>1398</v>
      </c>
    </row>
    <row r="122" spans="1:9" ht="78.75">
      <c r="A122" s="129"/>
      <c r="B122" s="129"/>
      <c r="C122" s="129"/>
      <c r="D122" s="144" t="s">
        <v>880</v>
      </c>
      <c r="E122" s="145">
        <v>0.5</v>
      </c>
      <c r="F122" s="124" t="s">
        <v>1401</v>
      </c>
      <c r="G122" s="20" t="s">
        <v>1484</v>
      </c>
      <c r="H122" s="124" t="s">
        <v>1401</v>
      </c>
      <c r="I122" s="124" t="s">
        <v>1398</v>
      </c>
    </row>
    <row r="123" spans="1:9" ht="78.75">
      <c r="A123" s="129"/>
      <c r="B123" s="129"/>
      <c r="C123" s="129"/>
      <c r="D123" s="144" t="s">
        <v>881</v>
      </c>
      <c r="E123" s="146">
        <v>0.75</v>
      </c>
      <c r="F123" s="124" t="s">
        <v>1401</v>
      </c>
      <c r="G123" s="20" t="s">
        <v>1484</v>
      </c>
      <c r="H123" s="124" t="s">
        <v>1401</v>
      </c>
      <c r="I123" s="124" t="s">
        <v>1398</v>
      </c>
    </row>
    <row r="124" spans="1:9" ht="78.75">
      <c r="A124" s="129"/>
      <c r="B124" s="129"/>
      <c r="C124" s="129"/>
      <c r="D124" s="144" t="s">
        <v>885</v>
      </c>
      <c r="E124" s="145">
        <v>1.5</v>
      </c>
      <c r="F124" s="124" t="s">
        <v>1401</v>
      </c>
      <c r="G124" s="20" t="s">
        <v>1484</v>
      </c>
      <c r="H124" s="124" t="s">
        <v>1401</v>
      </c>
      <c r="I124" s="124" t="s">
        <v>1398</v>
      </c>
    </row>
    <row r="125" spans="1:9" ht="78.75">
      <c r="A125" s="129"/>
      <c r="B125" s="129"/>
      <c r="C125" s="129"/>
      <c r="D125" s="144" t="s">
        <v>882</v>
      </c>
      <c r="E125" s="145">
        <v>1.5</v>
      </c>
      <c r="F125" s="124" t="s">
        <v>1401</v>
      </c>
      <c r="G125" s="20" t="s">
        <v>1484</v>
      </c>
      <c r="H125" s="124" t="s">
        <v>1401</v>
      </c>
      <c r="I125" s="124" t="s">
        <v>1398</v>
      </c>
    </row>
    <row r="126" spans="1:9" ht="78.75">
      <c r="A126" s="129"/>
      <c r="B126" s="129"/>
      <c r="C126" s="129"/>
      <c r="D126" s="144" t="s">
        <v>884</v>
      </c>
      <c r="E126" s="145">
        <v>1</v>
      </c>
      <c r="F126" s="124" t="s">
        <v>1401</v>
      </c>
      <c r="G126" s="20" t="s">
        <v>1484</v>
      </c>
      <c r="H126" s="124" t="s">
        <v>1401</v>
      </c>
      <c r="I126" s="124" t="s">
        <v>1398</v>
      </c>
    </row>
    <row r="127" spans="1:9" ht="78.75">
      <c r="A127" s="129"/>
      <c r="B127" s="129"/>
      <c r="C127" s="129"/>
      <c r="D127" s="144" t="s">
        <v>883</v>
      </c>
      <c r="E127" s="145">
        <v>1</v>
      </c>
      <c r="F127" s="124" t="s">
        <v>1401</v>
      </c>
      <c r="G127" s="20" t="s">
        <v>1484</v>
      </c>
      <c r="H127" s="124" t="s">
        <v>1401</v>
      </c>
      <c r="I127" s="124" t="s">
        <v>1398</v>
      </c>
    </row>
    <row r="128" spans="1:9" ht="94.5">
      <c r="A128" s="129"/>
      <c r="B128" s="129"/>
      <c r="C128" s="147"/>
      <c r="D128" s="148" t="s">
        <v>953</v>
      </c>
      <c r="E128" s="149">
        <v>18.8</v>
      </c>
      <c r="F128" s="124" t="s">
        <v>1485</v>
      </c>
      <c r="G128" s="150" t="s">
        <v>958</v>
      </c>
      <c r="H128" s="123"/>
      <c r="I128" s="123"/>
    </row>
    <row r="129" spans="1:9" ht="94.5">
      <c r="A129" s="129"/>
      <c r="B129" s="129"/>
      <c r="C129" s="147"/>
      <c r="D129" s="139" t="s">
        <v>954</v>
      </c>
      <c r="E129" s="149">
        <v>4.5999999999999996</v>
      </c>
      <c r="F129" s="124" t="s">
        <v>1485</v>
      </c>
      <c r="G129" s="150" t="s">
        <v>958</v>
      </c>
      <c r="H129" s="123"/>
      <c r="I129" s="123"/>
    </row>
    <row r="130" spans="1:9" ht="94.5">
      <c r="A130" s="129"/>
      <c r="B130" s="129"/>
      <c r="C130" s="147"/>
      <c r="D130" s="139" t="s">
        <v>955</v>
      </c>
      <c r="E130" s="149">
        <v>2</v>
      </c>
      <c r="F130" s="124" t="s">
        <v>1485</v>
      </c>
      <c r="G130" s="150" t="s">
        <v>958</v>
      </c>
      <c r="H130" s="123"/>
      <c r="I130" s="123"/>
    </row>
    <row r="131" spans="1:9" ht="94.5">
      <c r="A131" s="129"/>
      <c r="B131" s="129"/>
      <c r="C131" s="147"/>
      <c r="D131" s="135" t="s">
        <v>956</v>
      </c>
      <c r="E131" s="149">
        <v>12.56</v>
      </c>
      <c r="F131" s="124" t="s">
        <v>1485</v>
      </c>
      <c r="G131" s="150" t="s">
        <v>958</v>
      </c>
      <c r="H131" s="123"/>
      <c r="I131" s="123"/>
    </row>
    <row r="132" spans="1:9" ht="94.5">
      <c r="A132" s="129"/>
      <c r="B132" s="129"/>
      <c r="C132" s="147"/>
      <c r="D132" s="135" t="s">
        <v>957</v>
      </c>
      <c r="E132" s="149">
        <v>43.44</v>
      </c>
      <c r="F132" s="124" t="s">
        <v>1485</v>
      </c>
      <c r="G132" s="150" t="s">
        <v>958</v>
      </c>
      <c r="H132" s="123"/>
      <c r="I132" s="123"/>
    </row>
    <row r="133" spans="1:9" ht="94.5">
      <c r="A133" s="129"/>
      <c r="B133" s="129"/>
      <c r="C133" s="151" t="s">
        <v>1077</v>
      </c>
      <c r="D133" s="152" t="s">
        <v>1072</v>
      </c>
      <c r="E133" s="153">
        <v>7</v>
      </c>
      <c r="F133" s="124" t="s">
        <v>1485</v>
      </c>
      <c r="G133" s="20" t="s">
        <v>1495</v>
      </c>
      <c r="H133" s="123"/>
      <c r="I133" s="123"/>
    </row>
    <row r="134" spans="1:9" ht="94.5">
      <c r="A134" s="129"/>
      <c r="B134" s="129"/>
      <c r="C134" s="151" t="s">
        <v>1077</v>
      </c>
      <c r="D134" s="152" t="s">
        <v>1073</v>
      </c>
      <c r="E134" s="154">
        <v>4</v>
      </c>
      <c r="F134" s="124" t="s">
        <v>1485</v>
      </c>
      <c r="G134" s="20" t="s">
        <v>1495</v>
      </c>
      <c r="H134" s="123"/>
      <c r="I134" s="123"/>
    </row>
    <row r="135" spans="1:9" ht="94.5">
      <c r="A135" s="129"/>
      <c r="B135" s="129"/>
      <c r="C135" s="151" t="s">
        <v>1077</v>
      </c>
      <c r="D135" s="152" t="s">
        <v>1074</v>
      </c>
      <c r="E135" s="154">
        <v>10</v>
      </c>
      <c r="F135" s="124" t="s">
        <v>1485</v>
      </c>
      <c r="G135" s="20" t="s">
        <v>1495</v>
      </c>
      <c r="H135" s="123"/>
      <c r="I135" s="123"/>
    </row>
    <row r="136" spans="1:9" ht="94.5">
      <c r="A136" s="129"/>
      <c r="B136" s="129"/>
      <c r="C136" s="151" t="s">
        <v>1077</v>
      </c>
      <c r="D136" s="155" t="s">
        <v>1075</v>
      </c>
      <c r="E136" s="154">
        <v>4</v>
      </c>
      <c r="F136" s="124" t="s">
        <v>1485</v>
      </c>
      <c r="G136" s="20" t="s">
        <v>1495</v>
      </c>
      <c r="H136" s="123"/>
      <c r="I136" s="123"/>
    </row>
    <row r="137" spans="1:9" ht="94.5">
      <c r="A137" s="129"/>
      <c r="B137" s="129"/>
      <c r="C137" s="151" t="s">
        <v>1077</v>
      </c>
      <c r="D137" s="155" t="s">
        <v>1076</v>
      </c>
      <c r="E137" s="154">
        <v>10</v>
      </c>
      <c r="F137" s="124" t="s">
        <v>1485</v>
      </c>
      <c r="G137" s="20" t="s">
        <v>1495</v>
      </c>
      <c r="H137" s="123"/>
      <c r="I137" s="123"/>
    </row>
    <row r="138" spans="1:9" ht="94.5">
      <c r="A138" s="129"/>
      <c r="B138" s="129"/>
      <c r="C138" s="135" t="s">
        <v>959</v>
      </c>
      <c r="D138" s="135" t="s">
        <v>1131</v>
      </c>
      <c r="E138" s="156">
        <v>4</v>
      </c>
      <c r="F138" s="124" t="s">
        <v>1485</v>
      </c>
      <c r="G138" s="135" t="s">
        <v>1152</v>
      </c>
      <c r="H138" s="123"/>
      <c r="I138" s="123"/>
    </row>
    <row r="139" spans="1:9" ht="94.5">
      <c r="A139" s="129"/>
      <c r="B139" s="129"/>
      <c r="C139" s="135" t="s">
        <v>959</v>
      </c>
      <c r="D139" s="135" t="s">
        <v>1132</v>
      </c>
      <c r="E139" s="156">
        <v>2</v>
      </c>
      <c r="F139" s="124" t="s">
        <v>1485</v>
      </c>
      <c r="G139" s="135" t="s">
        <v>1152</v>
      </c>
      <c r="H139" s="123"/>
      <c r="I139" s="123"/>
    </row>
    <row r="140" spans="1:9" ht="94.5">
      <c r="A140" s="129"/>
      <c r="B140" s="129"/>
      <c r="C140" s="135" t="s">
        <v>959</v>
      </c>
      <c r="D140" s="135" t="s">
        <v>1133</v>
      </c>
      <c r="E140" s="156">
        <v>0.5</v>
      </c>
      <c r="F140" s="124" t="s">
        <v>1485</v>
      </c>
      <c r="G140" s="135" t="s">
        <v>1152</v>
      </c>
      <c r="H140" s="123"/>
      <c r="I140" s="123"/>
    </row>
    <row r="141" spans="1:9" ht="94.5">
      <c r="A141" s="129"/>
      <c r="B141" s="129"/>
      <c r="C141" s="135" t="s">
        <v>959</v>
      </c>
      <c r="D141" s="135" t="s">
        <v>1134</v>
      </c>
      <c r="E141" s="156">
        <v>3</v>
      </c>
      <c r="F141" s="124" t="s">
        <v>1485</v>
      </c>
      <c r="G141" s="135" t="s">
        <v>1152</v>
      </c>
      <c r="H141" s="123"/>
      <c r="I141" s="123"/>
    </row>
    <row r="142" spans="1:9" ht="94.5">
      <c r="A142" s="129"/>
      <c r="B142" s="129"/>
      <c r="C142" s="135" t="s">
        <v>959</v>
      </c>
      <c r="D142" s="135" t="s">
        <v>1135</v>
      </c>
      <c r="E142" s="156">
        <v>7</v>
      </c>
      <c r="F142" s="124" t="s">
        <v>1485</v>
      </c>
      <c r="G142" s="135" t="s">
        <v>1152</v>
      </c>
      <c r="H142" s="123"/>
      <c r="I142" s="123"/>
    </row>
    <row r="143" spans="1:9" ht="94.5">
      <c r="A143" s="129"/>
      <c r="B143" s="129"/>
      <c r="C143" s="135" t="s">
        <v>959</v>
      </c>
      <c r="D143" s="135" t="s">
        <v>1136</v>
      </c>
      <c r="E143" s="156">
        <v>0.5</v>
      </c>
      <c r="F143" s="124" t="s">
        <v>1485</v>
      </c>
      <c r="G143" s="135" t="s">
        <v>1152</v>
      </c>
      <c r="H143" s="123"/>
      <c r="I143" s="123"/>
    </row>
    <row r="144" spans="1:9" ht="94.5">
      <c r="A144" s="129"/>
      <c r="B144" s="129"/>
      <c r="C144" s="135" t="s">
        <v>959</v>
      </c>
      <c r="D144" s="135" t="s">
        <v>1137</v>
      </c>
      <c r="E144" s="156">
        <v>1</v>
      </c>
      <c r="F144" s="124" t="s">
        <v>1485</v>
      </c>
      <c r="G144" s="135" t="s">
        <v>1152</v>
      </c>
      <c r="H144" s="123"/>
      <c r="I144" s="123"/>
    </row>
    <row r="145" spans="1:9" ht="94.5">
      <c r="A145" s="129"/>
      <c r="B145" s="129"/>
      <c r="C145" s="135" t="s">
        <v>959</v>
      </c>
      <c r="D145" s="135" t="s">
        <v>1138</v>
      </c>
      <c r="E145" s="156">
        <v>7</v>
      </c>
      <c r="F145" s="124" t="s">
        <v>1485</v>
      </c>
      <c r="G145" s="135" t="s">
        <v>1152</v>
      </c>
      <c r="H145" s="123"/>
      <c r="I145" s="123"/>
    </row>
    <row r="146" spans="1:9" ht="94.5">
      <c r="A146" s="129"/>
      <c r="B146" s="129"/>
      <c r="C146" s="135" t="s">
        <v>959</v>
      </c>
      <c r="D146" s="135" t="s">
        <v>1139</v>
      </c>
      <c r="E146" s="156">
        <v>0.3</v>
      </c>
      <c r="F146" s="124" t="s">
        <v>1485</v>
      </c>
      <c r="G146" s="135" t="s">
        <v>1152</v>
      </c>
      <c r="H146" s="123"/>
      <c r="I146" s="123"/>
    </row>
    <row r="147" spans="1:9" ht="94.5">
      <c r="A147" s="129"/>
      <c r="B147" s="129"/>
      <c r="C147" s="135" t="s">
        <v>959</v>
      </c>
      <c r="D147" s="135" t="s">
        <v>1140</v>
      </c>
      <c r="E147" s="156">
        <v>0.5</v>
      </c>
      <c r="F147" s="124" t="s">
        <v>1485</v>
      </c>
      <c r="G147" s="135" t="s">
        <v>1152</v>
      </c>
      <c r="H147" s="123"/>
      <c r="I147" s="123"/>
    </row>
    <row r="148" spans="1:9" ht="94.5">
      <c r="A148" s="129"/>
      <c r="B148" s="129"/>
      <c r="C148" s="135" t="s">
        <v>959</v>
      </c>
      <c r="D148" s="135" t="s">
        <v>1141</v>
      </c>
      <c r="E148" s="156">
        <v>1</v>
      </c>
      <c r="F148" s="124" t="s">
        <v>1485</v>
      </c>
      <c r="G148" s="135" t="s">
        <v>1152</v>
      </c>
      <c r="H148" s="123"/>
      <c r="I148" s="123"/>
    </row>
    <row r="149" spans="1:9" ht="94.5">
      <c r="A149" s="129"/>
      <c r="B149" s="129"/>
      <c r="C149" s="135" t="s">
        <v>959</v>
      </c>
      <c r="D149" s="139" t="s">
        <v>1142</v>
      </c>
      <c r="E149" s="156">
        <v>1.2</v>
      </c>
      <c r="F149" s="124" t="s">
        <v>1485</v>
      </c>
      <c r="G149" s="135" t="s">
        <v>1152</v>
      </c>
      <c r="H149" s="123"/>
      <c r="I149" s="123"/>
    </row>
    <row r="150" spans="1:9" ht="94.5">
      <c r="A150" s="129"/>
      <c r="B150" s="129"/>
      <c r="C150" s="135" t="s">
        <v>959</v>
      </c>
      <c r="D150" s="135" t="s">
        <v>1143</v>
      </c>
      <c r="E150" s="156">
        <v>2</v>
      </c>
      <c r="F150" s="124" t="s">
        <v>1485</v>
      </c>
      <c r="G150" s="135" t="s">
        <v>1152</v>
      </c>
      <c r="H150" s="123"/>
      <c r="I150" s="123"/>
    </row>
    <row r="151" spans="1:9" ht="94.5">
      <c r="A151" s="129"/>
      <c r="B151" s="129"/>
      <c r="C151" s="135" t="s">
        <v>959</v>
      </c>
      <c r="D151" s="135" t="s">
        <v>1144</v>
      </c>
      <c r="E151" s="156">
        <v>1</v>
      </c>
      <c r="F151" s="124" t="s">
        <v>1485</v>
      </c>
      <c r="G151" s="135" t="s">
        <v>1152</v>
      </c>
      <c r="H151" s="123"/>
      <c r="I151" s="123"/>
    </row>
    <row r="152" spans="1:9" ht="94.5">
      <c r="A152" s="129"/>
      <c r="B152" s="129"/>
      <c r="C152" s="135" t="s">
        <v>959</v>
      </c>
      <c r="D152" s="135" t="s">
        <v>1145</v>
      </c>
      <c r="E152" s="156">
        <v>0.8</v>
      </c>
      <c r="F152" s="124" t="s">
        <v>1485</v>
      </c>
      <c r="G152" s="135" t="s">
        <v>1152</v>
      </c>
      <c r="H152" s="123"/>
      <c r="I152" s="123"/>
    </row>
    <row r="153" spans="1:9" ht="94.5">
      <c r="A153" s="129"/>
      <c r="B153" s="129"/>
      <c r="C153" s="135" t="s">
        <v>959</v>
      </c>
      <c r="D153" s="135" t="s">
        <v>1146</v>
      </c>
      <c r="E153" s="156">
        <v>0.5</v>
      </c>
      <c r="F153" s="124" t="s">
        <v>1485</v>
      </c>
      <c r="G153" s="135" t="s">
        <v>1152</v>
      </c>
      <c r="H153" s="123"/>
      <c r="I153" s="123"/>
    </row>
    <row r="154" spans="1:9" ht="94.5">
      <c r="A154" s="129"/>
      <c r="B154" s="129"/>
      <c r="C154" s="135" t="s">
        <v>959</v>
      </c>
      <c r="D154" s="139" t="s">
        <v>1147</v>
      </c>
      <c r="E154" s="156">
        <v>1</v>
      </c>
      <c r="F154" s="124" t="s">
        <v>1485</v>
      </c>
      <c r="G154" s="135" t="s">
        <v>1152</v>
      </c>
      <c r="H154" s="123"/>
      <c r="I154" s="123"/>
    </row>
    <row r="155" spans="1:9" ht="94.5">
      <c r="A155" s="129"/>
      <c r="B155" s="129"/>
      <c r="C155" s="135" t="s">
        <v>959</v>
      </c>
      <c r="D155" s="135" t="s">
        <v>1148</v>
      </c>
      <c r="E155" s="156">
        <v>0.4</v>
      </c>
      <c r="F155" s="124" t="s">
        <v>1485</v>
      </c>
      <c r="G155" s="135" t="s">
        <v>1152</v>
      </c>
      <c r="H155" s="123"/>
      <c r="I155" s="123"/>
    </row>
    <row r="156" spans="1:9" ht="94.5">
      <c r="A156" s="129"/>
      <c r="B156" s="129"/>
      <c r="C156" s="135" t="s">
        <v>959</v>
      </c>
      <c r="D156" s="135" t="s">
        <v>1149</v>
      </c>
      <c r="E156" s="157">
        <v>1.47</v>
      </c>
      <c r="F156" s="124" t="s">
        <v>1485</v>
      </c>
      <c r="G156" s="135" t="s">
        <v>1152</v>
      </c>
      <c r="H156" s="123"/>
      <c r="I156" s="123"/>
    </row>
    <row r="157" spans="1:9" ht="94.5">
      <c r="A157" s="129"/>
      <c r="B157" s="129"/>
      <c r="C157" s="135" t="s">
        <v>959</v>
      </c>
      <c r="D157" s="135" t="s">
        <v>1150</v>
      </c>
      <c r="E157" s="156">
        <v>1</v>
      </c>
      <c r="F157" s="124" t="s">
        <v>1485</v>
      </c>
      <c r="G157" s="135" t="s">
        <v>1152</v>
      </c>
      <c r="H157" s="123"/>
      <c r="I157" s="123"/>
    </row>
    <row r="158" spans="1:9" ht="94.5">
      <c r="A158" s="129"/>
      <c r="B158" s="129"/>
      <c r="C158" s="135" t="s">
        <v>959</v>
      </c>
      <c r="D158" s="135" t="s">
        <v>1151</v>
      </c>
      <c r="E158" s="156">
        <v>0.5</v>
      </c>
      <c r="F158" s="124" t="s">
        <v>1485</v>
      </c>
      <c r="G158" s="135" t="s">
        <v>1152</v>
      </c>
      <c r="H158" s="123"/>
      <c r="I158" s="123"/>
    </row>
    <row r="159" spans="1:9" ht="94.5">
      <c r="A159" s="129"/>
      <c r="B159" s="129"/>
      <c r="C159" s="135" t="s">
        <v>959</v>
      </c>
      <c r="D159" s="158" t="s">
        <v>1203</v>
      </c>
      <c r="E159" s="156">
        <v>8</v>
      </c>
      <c r="F159" s="124" t="s">
        <v>1485</v>
      </c>
      <c r="G159" s="20" t="s">
        <v>958</v>
      </c>
      <c r="H159" s="123"/>
      <c r="I159" s="123"/>
    </row>
    <row r="160" spans="1:9" ht="94.5">
      <c r="A160" s="129"/>
      <c r="B160" s="129"/>
      <c r="C160" s="135" t="s">
        <v>959</v>
      </c>
      <c r="D160" s="158" t="s">
        <v>1204</v>
      </c>
      <c r="E160" s="156">
        <v>18</v>
      </c>
      <c r="F160" s="124" t="s">
        <v>1485</v>
      </c>
      <c r="G160" s="20" t="s">
        <v>958</v>
      </c>
      <c r="H160" s="123"/>
      <c r="I160" s="123"/>
    </row>
    <row r="161" spans="1:9" ht="47.25">
      <c r="A161" s="129"/>
      <c r="B161" s="129"/>
      <c r="C161" s="135"/>
      <c r="D161" s="158" t="s">
        <v>1427</v>
      </c>
      <c r="E161" s="156">
        <v>2</v>
      </c>
      <c r="F161" s="20" t="s">
        <v>1205</v>
      </c>
      <c r="G161" s="20"/>
      <c r="H161" s="123"/>
      <c r="I161" s="123"/>
    </row>
    <row r="162" spans="1:9" ht="47.25">
      <c r="A162" s="129"/>
      <c r="B162" s="129"/>
      <c r="C162" s="135"/>
      <c r="D162" s="158" t="s">
        <v>1428</v>
      </c>
      <c r="E162" s="156">
        <v>5</v>
      </c>
      <c r="F162" s="20" t="s">
        <v>1205</v>
      </c>
      <c r="G162" s="20"/>
      <c r="H162" s="123"/>
      <c r="I162" s="123"/>
    </row>
    <row r="163" spans="1:9" ht="47.25">
      <c r="A163" s="129"/>
      <c r="B163" s="129"/>
      <c r="C163" s="135"/>
      <c r="D163" s="158" t="s">
        <v>1429</v>
      </c>
      <c r="E163" s="156">
        <v>9.1999999999999993</v>
      </c>
      <c r="F163" s="20" t="s">
        <v>1205</v>
      </c>
      <c r="G163" s="20"/>
      <c r="H163" s="123"/>
      <c r="I163" s="123"/>
    </row>
    <row r="164" spans="1:9" ht="47.25">
      <c r="A164" s="129"/>
      <c r="B164" s="129"/>
      <c r="C164" s="135"/>
      <c r="D164" s="158" t="s">
        <v>1430</v>
      </c>
      <c r="E164" s="156">
        <v>19.399999999999999</v>
      </c>
      <c r="F164" s="20" t="s">
        <v>1205</v>
      </c>
      <c r="G164" s="20"/>
      <c r="H164" s="123"/>
      <c r="I164" s="123"/>
    </row>
    <row r="165" spans="1:9" ht="47.25">
      <c r="A165" s="129"/>
      <c r="B165" s="129"/>
      <c r="C165" s="135"/>
      <c r="D165" s="158" t="s">
        <v>1431</v>
      </c>
      <c r="E165" s="156">
        <v>0.75</v>
      </c>
      <c r="F165" s="20" t="s">
        <v>1205</v>
      </c>
      <c r="G165" s="20"/>
      <c r="H165" s="123"/>
      <c r="I165" s="123"/>
    </row>
    <row r="166" spans="1:9" ht="47.25">
      <c r="A166" s="129"/>
      <c r="B166" s="129"/>
      <c r="C166" s="135"/>
      <c r="D166" s="158" t="s">
        <v>1432</v>
      </c>
      <c r="E166" s="156">
        <v>2</v>
      </c>
      <c r="F166" s="20" t="s">
        <v>1205</v>
      </c>
      <c r="G166" s="20"/>
      <c r="H166" s="123"/>
      <c r="I166" s="123"/>
    </row>
    <row r="167" spans="1:9" ht="47.25">
      <c r="A167" s="129"/>
      <c r="B167" s="129"/>
      <c r="C167" s="135"/>
      <c r="D167" s="158" t="s">
        <v>1433</v>
      </c>
      <c r="E167" s="156">
        <v>8</v>
      </c>
      <c r="F167" s="20" t="s">
        <v>1205</v>
      </c>
      <c r="G167" s="20"/>
      <c r="H167" s="123"/>
      <c r="I167" s="123"/>
    </row>
    <row r="168" spans="1:9" ht="47.25">
      <c r="A168" s="129"/>
      <c r="B168" s="129"/>
      <c r="C168" s="135"/>
      <c r="D168" s="158" t="s">
        <v>1434</v>
      </c>
      <c r="E168" s="156">
        <v>0.5</v>
      </c>
      <c r="F168" s="20" t="s">
        <v>1205</v>
      </c>
      <c r="G168" s="20"/>
      <c r="H168" s="123"/>
      <c r="I168" s="123"/>
    </row>
    <row r="169" spans="1:9" ht="47.25">
      <c r="A169" s="129"/>
      <c r="B169" s="129"/>
      <c r="C169" s="135"/>
      <c r="D169" s="158" t="s">
        <v>1435</v>
      </c>
      <c r="E169" s="156">
        <v>0.3</v>
      </c>
      <c r="F169" s="20" t="s">
        <v>1205</v>
      </c>
      <c r="G169" s="20"/>
      <c r="H169" s="123"/>
      <c r="I169" s="123"/>
    </row>
    <row r="170" spans="1:9" ht="47.25">
      <c r="A170" s="129"/>
      <c r="B170" s="129"/>
      <c r="C170" s="135"/>
      <c r="D170" s="158" t="s">
        <v>1436</v>
      </c>
      <c r="E170" s="156">
        <v>0.15</v>
      </c>
      <c r="F170" s="20" t="s">
        <v>1205</v>
      </c>
      <c r="G170" s="20"/>
      <c r="H170" s="123"/>
      <c r="I170" s="123"/>
    </row>
    <row r="171" spans="1:9" ht="31.5">
      <c r="A171" s="129"/>
      <c r="B171" s="129"/>
      <c r="C171" s="135"/>
      <c r="D171" s="158" t="s">
        <v>1448</v>
      </c>
      <c r="E171" s="156">
        <v>29.16</v>
      </c>
      <c r="F171" s="20" t="s">
        <v>1449</v>
      </c>
      <c r="G171" s="20" t="s">
        <v>1447</v>
      </c>
      <c r="H171" s="123"/>
      <c r="I171" s="123"/>
    </row>
    <row r="172" spans="1:9" ht="63">
      <c r="A172" s="129"/>
      <c r="B172" s="129"/>
      <c r="C172" s="135"/>
      <c r="D172" s="158" t="s">
        <v>1513</v>
      </c>
      <c r="E172" s="156">
        <v>101</v>
      </c>
      <c r="F172" s="20" t="s">
        <v>1518</v>
      </c>
      <c r="G172" s="20" t="s">
        <v>1518</v>
      </c>
      <c r="H172" s="123"/>
      <c r="I172" s="123"/>
    </row>
    <row r="173" spans="1:9" ht="63">
      <c r="A173" s="129"/>
      <c r="B173" s="129"/>
      <c r="C173" s="135"/>
      <c r="D173" s="158" t="s">
        <v>1514</v>
      </c>
      <c r="E173" s="156">
        <v>98</v>
      </c>
      <c r="F173" s="20" t="s">
        <v>1518</v>
      </c>
      <c r="G173" s="20" t="s">
        <v>1518</v>
      </c>
      <c r="H173" s="123"/>
      <c r="I173" s="123"/>
    </row>
    <row r="174" spans="1:9" ht="63">
      <c r="A174" s="129"/>
      <c r="B174" s="129"/>
      <c r="C174" s="135"/>
      <c r="D174" s="158" t="s">
        <v>1515</v>
      </c>
      <c r="E174" s="156">
        <v>59</v>
      </c>
      <c r="F174" s="20" t="s">
        <v>1518</v>
      </c>
      <c r="G174" s="20" t="s">
        <v>1518</v>
      </c>
      <c r="H174" s="123"/>
      <c r="I174" s="123"/>
    </row>
    <row r="175" spans="1:9" ht="63">
      <c r="A175" s="129"/>
      <c r="B175" s="129"/>
      <c r="C175" s="135"/>
      <c r="D175" s="158" t="s">
        <v>1516</v>
      </c>
      <c r="E175" s="156">
        <v>103</v>
      </c>
      <c r="F175" s="20" t="s">
        <v>1518</v>
      </c>
      <c r="G175" s="20" t="s">
        <v>1518</v>
      </c>
      <c r="H175" s="123"/>
      <c r="I175" s="123"/>
    </row>
    <row r="176" spans="1:9" ht="63">
      <c r="A176" s="129"/>
      <c r="B176" s="129"/>
      <c r="C176" s="135"/>
      <c r="D176" s="158" t="s">
        <v>1517</v>
      </c>
      <c r="E176" s="156">
        <v>122</v>
      </c>
      <c r="F176" s="20" t="s">
        <v>1518</v>
      </c>
      <c r="G176" s="20" t="s">
        <v>1518</v>
      </c>
      <c r="H176" s="123"/>
      <c r="I176" s="123"/>
    </row>
    <row r="177" spans="1:9" ht="47.25">
      <c r="A177" s="129"/>
      <c r="B177" s="129"/>
      <c r="C177" s="135"/>
      <c r="D177" s="176" t="s">
        <v>1538</v>
      </c>
      <c r="E177" s="177">
        <v>7</v>
      </c>
      <c r="F177" s="178" t="s">
        <v>1533</v>
      </c>
      <c r="G177" s="175" t="s">
        <v>1521</v>
      </c>
      <c r="H177" s="123"/>
      <c r="I177" s="123"/>
    </row>
    <row r="178" spans="1:9" ht="47.25">
      <c r="A178" s="129"/>
      <c r="B178" s="129"/>
      <c r="C178" s="135"/>
      <c r="D178" s="179" t="s">
        <v>1539</v>
      </c>
      <c r="E178" s="180">
        <v>27</v>
      </c>
      <c r="F178" s="178" t="s">
        <v>1533</v>
      </c>
      <c r="G178" s="175" t="s">
        <v>1521</v>
      </c>
      <c r="H178" s="123"/>
      <c r="I178" s="123"/>
    </row>
    <row r="179" spans="1:9" ht="47.25">
      <c r="A179" s="129"/>
      <c r="B179" s="129"/>
      <c r="C179" s="135"/>
      <c r="D179" s="179" t="s">
        <v>1542</v>
      </c>
      <c r="E179" s="180">
        <v>0.35</v>
      </c>
      <c r="F179" s="178" t="s">
        <v>1533</v>
      </c>
      <c r="G179" s="175" t="s">
        <v>1521</v>
      </c>
      <c r="H179" s="123"/>
      <c r="I179" s="123"/>
    </row>
    <row r="180" spans="1:9" ht="47.25">
      <c r="A180" s="129"/>
      <c r="B180" s="129"/>
      <c r="C180" s="135"/>
      <c r="D180" s="78" t="s">
        <v>1545</v>
      </c>
      <c r="E180" s="181">
        <v>2.6</v>
      </c>
      <c r="F180" s="178" t="s">
        <v>1533</v>
      </c>
      <c r="G180" s="175" t="s">
        <v>1521</v>
      </c>
      <c r="H180" s="123"/>
      <c r="I180" s="123"/>
    </row>
    <row r="181" spans="1:9" ht="47.25">
      <c r="A181" s="129"/>
      <c r="B181" s="129"/>
      <c r="C181" s="135"/>
      <c r="D181" s="179" t="s">
        <v>1546</v>
      </c>
      <c r="E181" s="180">
        <v>0.53</v>
      </c>
      <c r="F181" s="178" t="s">
        <v>1533</v>
      </c>
      <c r="G181" s="175" t="s">
        <v>1521</v>
      </c>
      <c r="H181" s="123"/>
      <c r="I181" s="123"/>
    </row>
    <row r="182" spans="1:9" ht="15.75">
      <c r="A182" s="129"/>
      <c r="B182" s="129"/>
      <c r="C182" s="135" t="s">
        <v>12</v>
      </c>
      <c r="D182" s="20"/>
      <c r="E182" s="129">
        <f>SUM(E4:E181)</f>
        <v>1009.40475</v>
      </c>
      <c r="F182" s="20"/>
      <c r="G182" s="20"/>
      <c r="H182" s="123"/>
      <c r="I182" s="123"/>
    </row>
    <row r="183" spans="1:9" ht="15.75">
      <c r="A183" s="123"/>
      <c r="B183" s="123"/>
      <c r="C183" s="123"/>
      <c r="D183" s="124"/>
      <c r="E183" s="123"/>
      <c r="F183" s="20"/>
      <c r="G183" s="124"/>
      <c r="H183" s="123"/>
      <c r="I183" s="123"/>
    </row>
    <row r="184" spans="1:9" ht="15.75">
      <c r="A184" s="123"/>
      <c r="B184" s="123"/>
      <c r="C184" s="123"/>
      <c r="D184" s="124"/>
      <c r="E184" s="123"/>
      <c r="F184" s="124"/>
      <c r="G184" s="124"/>
      <c r="H184" s="123"/>
      <c r="I184" s="123"/>
    </row>
    <row r="185" spans="1:9" ht="15.75">
      <c r="A185" s="123"/>
      <c r="B185" s="123"/>
      <c r="C185" s="123"/>
      <c r="D185" s="124"/>
      <c r="E185" s="123"/>
      <c r="F185" s="124"/>
      <c r="G185" s="124"/>
      <c r="H185" s="123"/>
      <c r="I185" s="123"/>
    </row>
    <row r="186" spans="1:9" ht="15.75">
      <c r="A186" s="123"/>
      <c r="B186" s="123"/>
      <c r="C186" s="123"/>
      <c r="D186" s="124"/>
      <c r="E186" s="123"/>
      <c r="F186" s="124"/>
      <c r="G186" s="124"/>
      <c r="H186" s="123"/>
      <c r="I186" s="123"/>
    </row>
    <row r="187" spans="1:9" ht="15.75">
      <c r="A187" s="123"/>
      <c r="B187" s="123"/>
      <c r="C187" s="123"/>
      <c r="D187" s="124"/>
      <c r="E187" s="123"/>
      <c r="F187" s="124"/>
      <c r="G187" s="124"/>
      <c r="H187" s="123"/>
      <c r="I187" s="123"/>
    </row>
    <row r="188" spans="1:9" ht="15.75">
      <c r="A188" s="123"/>
      <c r="B188" s="123"/>
      <c r="C188" s="123"/>
      <c r="D188" s="124"/>
      <c r="E188" s="123"/>
      <c r="F188" s="124"/>
      <c r="G188" s="124"/>
      <c r="H188" s="123"/>
      <c r="I188" s="123"/>
    </row>
    <row r="189" spans="1:9" ht="15.75">
      <c r="A189" s="123"/>
      <c r="B189" s="123"/>
      <c r="C189" s="123"/>
      <c r="D189" s="124"/>
      <c r="E189" s="123"/>
      <c r="F189" s="124"/>
      <c r="G189" s="124"/>
      <c r="H189" s="123"/>
      <c r="I189" s="123"/>
    </row>
    <row r="190" spans="1:9" ht="15.75">
      <c r="A190" s="123"/>
      <c r="B190" s="123"/>
      <c r="C190" s="123"/>
      <c r="D190" s="124"/>
      <c r="E190" s="123"/>
      <c r="F190" s="124"/>
      <c r="G190" s="124"/>
      <c r="H190" s="123"/>
      <c r="I190" s="123"/>
    </row>
    <row r="191" spans="1:9" ht="15.75">
      <c r="A191" s="123"/>
      <c r="B191" s="123"/>
      <c r="C191" s="123"/>
      <c r="D191" s="124"/>
      <c r="E191" s="123"/>
      <c r="F191" s="124"/>
      <c r="G191" s="124"/>
      <c r="H191" s="123"/>
      <c r="I191" s="123"/>
    </row>
    <row r="192" spans="1:9" ht="15.75">
      <c r="A192" s="123"/>
      <c r="B192" s="123"/>
      <c r="C192" s="123"/>
      <c r="D192" s="124"/>
      <c r="E192" s="123"/>
      <c r="F192" s="124"/>
      <c r="G192" s="124"/>
      <c r="H192" s="123"/>
      <c r="I192" s="123"/>
    </row>
    <row r="193" spans="1:9" ht="15.75">
      <c r="A193" s="123"/>
      <c r="B193" s="123"/>
      <c r="C193" s="123"/>
      <c r="D193" s="124"/>
      <c r="E193" s="123"/>
      <c r="F193" s="124"/>
      <c r="G193" s="124"/>
      <c r="H193" s="123"/>
      <c r="I193" s="123"/>
    </row>
  </sheetData>
  <mergeCells count="2">
    <mergeCell ref="A1:G1"/>
    <mergeCell ref="A2:G2"/>
  </mergeCells>
  <pageMargins left="0.7" right="0.28000000000000003" top="0.33" bottom="0.46" header="0.3" footer="0.3"/>
  <pageSetup paperSize="9"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බඩල්කුඹුර</vt:lpstr>
      <vt:lpstr>මැදගම</vt:lpstr>
      <vt:lpstr>මඩුල්ල</vt:lpstr>
      <vt:lpstr>සියඹලාණ්ඩුව</vt:lpstr>
      <vt:lpstr>මොනරාගල</vt:lpstr>
      <vt:lpstr>බුත්තල</vt:lpstr>
      <vt:lpstr>කතරගම</vt:lpstr>
      <vt:lpstr>බිබිල</vt:lpstr>
      <vt:lpstr>වැල්ලවාය</vt:lpstr>
      <vt:lpstr>තණමල්විල</vt:lpstr>
      <vt:lpstr>සෙවනගල</vt:lpstr>
      <vt:lpstr>දිස්ත්‍රික්කයේ පොදු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DCC02</dc:creator>
  <cp:lastModifiedBy>DCC ofz</cp:lastModifiedBy>
  <cp:lastPrinted>2026-05-18T07:13:55Z</cp:lastPrinted>
  <dcterms:created xsi:type="dcterms:W3CDTF">2025-07-21T09:59:32Z</dcterms:created>
  <dcterms:modified xsi:type="dcterms:W3CDTF">2026-05-22T09:37:24Z</dcterms:modified>
</cp:coreProperties>
</file>